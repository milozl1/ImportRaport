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060" activeTab="1"/>
  </bookViews>
  <sheets>
    <sheet name="Import Report Template" sheetId="1" r:id="rId1"/>
    <sheet name="Data Fields" sheetId="6" r:id="rId2"/>
    <sheet name="Input AC Report " sheetId="7" r:id="rId3"/>
    <sheet name="Validation" sheetId="8" r:id="rId4"/>
    <sheet name="CBAM goods category" sheetId="2" state="hidden" r:id="rId5"/>
    <sheet name="Exeptions" sheetId="3" state="hidden" r:id="rId6"/>
  </sheets>
  <definedNames>
    <definedName name="_xlnm._FilterDatabase" localSheetId="0" hidden="1">'Import Report Template'!$A$1:$AR$54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<sst xmlns="http://schemas.openxmlformats.org/spreadsheetml/2006/main" count="1035" uniqueCount="595">
  <si>
    <t>Formal Entry Number</t>
  </si>
  <si>
    <t>Line No</t>
  </si>
  <si>
    <t>Importer Name</t>
  </si>
  <si>
    <t>EORI Number / Tax ID / Equivalent</t>
  </si>
  <si>
    <t>Arrival Date</t>
  </si>
  <si>
    <t>Entry Date 
(ddmmyy)</t>
  </si>
  <si>
    <t>Port of Entry</t>
  </si>
  <si>
    <t>Declaration Country</t>
  </si>
  <si>
    <t>Country of Origin</t>
  </si>
  <si>
    <t>Shipping Country</t>
  </si>
  <si>
    <t>HTS Code (Tariff Number)</t>
  </si>
  <si>
    <t>Item Description</t>
  </si>
  <si>
    <t xml:space="preserve">Invoice value </t>
  </si>
  <si>
    <t>Invoice Number</t>
  </si>
  <si>
    <t>Invoice currency</t>
  </si>
  <si>
    <t>Exchange Rate</t>
  </si>
  <si>
    <t>Declared Value</t>
  </si>
  <si>
    <t>Customs Value currency</t>
  </si>
  <si>
    <t>Duty Paid</t>
  </si>
  <si>
    <t>Duty Rate %</t>
  </si>
  <si>
    <t>VAT Value</t>
  </si>
  <si>
    <t>VAT Paid</t>
  </si>
  <si>
    <t>VAT Rate %</t>
  </si>
  <si>
    <t>Other Fees / Taxes</t>
  </si>
  <si>
    <t>Anti Dumping / Countervailing Duties</t>
  </si>
  <si>
    <t>Special Trade Program (e.g. FTA)</t>
  </si>
  <si>
    <t>Supplier Name / Shipper Name</t>
  </si>
  <si>
    <t>Custom broker company name</t>
  </si>
  <si>
    <t>Transport Mode</t>
  </si>
  <si>
    <t>Incoterms</t>
  </si>
  <si>
    <t>Customs Quantity</t>
  </si>
  <si>
    <t>Unit of measurement</t>
  </si>
  <si>
    <t>Net Mass (in kg)</t>
  </si>
  <si>
    <t xml:space="preserve">Gross Mass (in kg) </t>
  </si>
  <si>
    <t xml:space="preserve">Entry Type </t>
  </si>
  <si>
    <t>Branch</t>
  </si>
  <si>
    <t>Site Name</t>
  </si>
  <si>
    <t>Site Number</t>
  </si>
  <si>
    <t>Broker Reference Number</t>
  </si>
  <si>
    <t>AWB / Bill Of Lading</t>
  </si>
  <si>
    <t>CBAM related goods ? 
Y/N</t>
  </si>
  <si>
    <t>CBAM goods category *</t>
  </si>
  <si>
    <t>CBAM Exeption applied ? 
Y/N</t>
  </si>
  <si>
    <t>CBAM Type of exeption</t>
  </si>
  <si>
    <t>FRA</t>
  </si>
  <si>
    <t>Field</t>
  </si>
  <si>
    <t xml:space="preserve">Import Report </t>
  </si>
  <si>
    <t>Description</t>
  </si>
  <si>
    <t>Format required</t>
  </si>
  <si>
    <t>Import declaration number</t>
  </si>
  <si>
    <t>Text</t>
  </si>
  <si>
    <t>Declaration including multiple lines</t>
  </si>
  <si>
    <t>Entity that is the importer of the goods</t>
  </si>
  <si>
    <t xml:space="preserve">EORI. Economic Operators Registration and Identification number. 
Businesses identification number in all customs procedures </t>
  </si>
  <si>
    <t>The date imported goods entered the country of import</t>
  </si>
  <si>
    <t>Date</t>
  </si>
  <si>
    <t>The date the goods were customs cleared by Customs</t>
  </si>
  <si>
    <t>Local port where goods are imported</t>
  </si>
  <si>
    <t>The country where the goods are entered into free circulation / placed under customs procedure</t>
  </si>
  <si>
    <t>The country where the imported goods originated</t>
  </si>
  <si>
    <t>The country where the goods are exported from (country of export)</t>
  </si>
  <si>
    <t>The classification code assigned to the imported product (HTS code)</t>
  </si>
  <si>
    <t>The general description of the imported product (Product / Item description)</t>
  </si>
  <si>
    <t>Value on the commercial invoice</t>
  </si>
  <si>
    <t>Decimal</t>
  </si>
  <si>
    <t>Reference to the commercial invoice</t>
  </si>
  <si>
    <t>Currency used for stating values contained in the data</t>
  </si>
  <si>
    <t>Echange rate used to convert foreing invoice currency in local currency</t>
  </si>
  <si>
    <t>Value declared to customs (e.g. CIF)</t>
  </si>
  <si>
    <t>Duty paid to customs</t>
  </si>
  <si>
    <t>Dutie Rate %</t>
  </si>
  <si>
    <t>Duty rate</t>
  </si>
  <si>
    <t>VAT Value*</t>
  </si>
  <si>
    <t>Value used to calculate VAT (e.g. customs value + duty paid)</t>
  </si>
  <si>
    <t>VAT Paid*</t>
  </si>
  <si>
    <t xml:space="preserve">VAT paid at the time of import </t>
  </si>
  <si>
    <t>VAT Rate %*</t>
  </si>
  <si>
    <t>VAT rate assigned to the imported goods</t>
  </si>
  <si>
    <t>Other Fees / Taxes*</t>
  </si>
  <si>
    <t>Other fees or taxes paid in relation with the imported goods</t>
  </si>
  <si>
    <t xml:space="preserve">Any protectionist duty that is in place  </t>
  </si>
  <si>
    <t>Special trade programs used, such as free trade agreements (if applicable)</t>
  </si>
  <si>
    <t>Name of manufacturer or supplier</t>
  </si>
  <si>
    <t>Name of the import broker used to clear the goods at time of import</t>
  </si>
  <si>
    <t>The method of transportation used (e.g. air, sea, ocean, train, truck, road)</t>
  </si>
  <si>
    <t>Commercial terms used to determine costs, risks and responsibilities for the delivery of goods</t>
  </si>
  <si>
    <t xml:space="preserve">Number of goods </t>
  </si>
  <si>
    <t xml:space="preserve">Pieces/liters/kilograms etc. </t>
  </si>
  <si>
    <t>Net weight of imported goods  or other unit of measure</t>
  </si>
  <si>
    <t>Gross weight of imported goods or other unit of measure</t>
  </si>
  <si>
    <t>Status of the imported goods (e.g. temporary/permanent import, bonded, etc.)</t>
  </si>
  <si>
    <t xml:space="preserve">Name of the customs broker office or partner. </t>
  </si>
  <si>
    <t xml:space="preserve">Logistics site name assigned to the Flowserve facility. </t>
  </si>
  <si>
    <t xml:space="preserve">Logistics site number assigned to the Flowserve facility. </t>
  </si>
  <si>
    <t xml:space="preserve">Customs brokerage reference assigned to the operation. </t>
  </si>
  <si>
    <t xml:space="preserve">Air Will Bill or Bill of Lading of the shipment </t>
  </si>
  <si>
    <t>CBAM related goods ? *
Y/N</t>
  </si>
  <si>
    <t xml:space="preserve">Indicate if the HTS code is related to CBAM goods for EMA Region. </t>
  </si>
  <si>
    <t>If the goods are related CBAM select the category: Cement, Iron and Steel, Aluminium, Fertilisers, Electricity, Hydrogen, Not applicable</t>
  </si>
  <si>
    <t>CBAM Exeption applied ? *
Y/N</t>
  </si>
  <si>
    <t xml:space="preserve">Indicate if any CBAM exeption applies. </t>
  </si>
  <si>
    <t>CBAM Type of exeption *</t>
  </si>
  <si>
    <t xml:space="preserve">Select the type of exception. </t>
  </si>
  <si>
    <t>[Placeholder]</t>
  </si>
  <si>
    <t>Please place any additional fields not covered by the above in columns 35 and further</t>
  </si>
  <si>
    <t>TBD</t>
  </si>
  <si>
    <t>*Please replace VAT and other fees/taxes with the applicable indirect tax(es) paid upon import in your country</t>
  </si>
  <si>
    <t xml:space="preserve">* CBAM Fields must be considered only for the EMA Region. </t>
  </si>
  <si>
    <t xml:space="preserve">Version </t>
  </si>
  <si>
    <t>Description of the change</t>
  </si>
  <si>
    <t>Additional Comments</t>
  </si>
  <si>
    <t xml:space="preserve">Initial version </t>
  </si>
  <si>
    <t xml:space="preserve">Adjustment to the fields by EY. </t>
  </si>
  <si>
    <t>SendungNummer</t>
  </si>
  <si>
    <t>BezugsNummer</t>
  </si>
  <si>
    <t>ZusatzKennung</t>
  </si>
  <si>
    <t>StatusAbgabeZollAnmeldung</t>
  </si>
  <si>
    <t>StatusUeberlassung</t>
  </si>
  <si>
    <t>StatusSteuerbescheid</t>
  </si>
  <si>
    <t>PositionsNr</t>
  </si>
  <si>
    <t>AbgangsflughafenIataCode</t>
  </si>
  <si>
    <t>AbfertigungsZollStelle</t>
  </si>
  <si>
    <t>VerfahrensCode</t>
  </si>
  <si>
    <t>ArtDesGeschaefts</t>
  </si>
  <si>
    <t>MeldeVerfahren</t>
  </si>
  <si>
    <t>ArtikelNummer</t>
  </si>
  <si>
    <t>WarenBezeichnung</t>
  </si>
  <si>
    <t>WarenNummer</t>
  </si>
  <si>
    <t>ZusatzCode1</t>
  </si>
  <si>
    <t>AhStatMenge</t>
  </si>
  <si>
    <t>AhStatMengeMengenEinheit</t>
  </si>
  <si>
    <t>EigenMasse</t>
  </si>
  <si>
    <t>RohMasse</t>
  </si>
  <si>
    <t>ArtDerPackstuecke</t>
  </si>
  <si>
    <t>AnzahlDerPackstuecke</t>
  </si>
  <si>
    <t>RechnungsNummer</t>
  </si>
  <si>
    <t>IncoTerm</t>
  </si>
  <si>
    <t>LieferBedingungOrt</t>
  </si>
  <si>
    <t>IncoTermText</t>
  </si>
  <si>
    <t>Skonto</t>
  </si>
  <si>
    <t>RechnungsWertGesamt</t>
  </si>
  <si>
    <t>RechnungsNettoWertPosition</t>
  </si>
  <si>
    <t>RechnungsWertWaehrung</t>
  </si>
  <si>
    <t>KursZuEuro</t>
  </si>
  <si>
    <t>ZollWertRelevanteFracht</t>
  </si>
  <si>
    <t>FrachtWaehrung</t>
  </si>
  <si>
    <t>Zollwert</t>
  </si>
  <si>
    <t>ZollabgabensatzKalkuliert</t>
  </si>
  <si>
    <t>Zollabgabensatz</t>
  </si>
  <si>
    <t>AbgabenZoll</t>
  </si>
  <si>
    <t>EUStKosten</t>
  </si>
  <si>
    <t>EUStWertKalkul</t>
  </si>
  <si>
    <t>EUStWert</t>
  </si>
  <si>
    <t>AbgabenEUSt</t>
  </si>
  <si>
    <t>AbgabenZollKalkul</t>
  </si>
  <si>
    <t>AbgabenEUStKalkul</t>
  </si>
  <si>
    <t>VersendungsLand</t>
  </si>
  <si>
    <t>UrsprungsLand</t>
  </si>
  <si>
    <t>MassgeblicherZeitpunkt</t>
  </si>
  <si>
    <t>UrsprungsZeugnisArt</t>
  </si>
  <si>
    <t>UrsprungsZeugnisNummer</t>
  </si>
  <si>
    <t>PraeferenzGesamtmenge</t>
  </si>
  <si>
    <t>AusstellungsNummerEG_1</t>
  </si>
  <si>
    <t>AusschreibungsNummerEG_1</t>
  </si>
  <si>
    <t>GesamtMengeEG_1</t>
  </si>
  <si>
    <t>AbschreibungsMengeEG_1</t>
  </si>
  <si>
    <t>AusstellungsNummerEG_2</t>
  </si>
  <si>
    <t>AusschreibungsNummerEG_2</t>
  </si>
  <si>
    <t>GesamtMengeEG_2</t>
  </si>
  <si>
    <t>AbschreibungsMengeEG_2</t>
  </si>
  <si>
    <t>ExportlizenzNummer</t>
  </si>
  <si>
    <t>VorpapierArt</t>
  </si>
  <si>
    <t>VorpapierNummer</t>
  </si>
  <si>
    <t>VorpapierAusstellDatum</t>
  </si>
  <si>
    <t>ArtDesBfmAnGrenze</t>
  </si>
  <si>
    <t>ContainerNummer</t>
  </si>
  <si>
    <t>RegistrierNummer</t>
  </si>
  <si>
    <t>RegistrierNummerATA</t>
  </si>
  <si>
    <t>Sachbereich</t>
  </si>
  <si>
    <t>HandelsLand</t>
  </si>
  <si>
    <t>BeantragteBeguenstigung</t>
  </si>
  <si>
    <t>KennzeichenVerbundenheit</t>
  </si>
  <si>
    <t>Mandant</t>
  </si>
  <si>
    <t>BezugsMenge</t>
  </si>
  <si>
    <t>BezugsMengeMengeEinheit</t>
  </si>
  <si>
    <t>BetrieblicheIdentifikation</t>
  </si>
  <si>
    <t>SendungsTyp</t>
  </si>
  <si>
    <t>ZusatzCode2</t>
  </si>
  <si>
    <t>BezeichnungDerPackstuecke</t>
  </si>
  <si>
    <t>PositionsZusatz</t>
  </si>
  <si>
    <t>EingangsZollStelle</t>
  </si>
  <si>
    <t>Versender</t>
  </si>
  <si>
    <t>ZusatzInfo</t>
  </si>
  <si>
    <t>WarenOrt</t>
  </si>
  <si>
    <t>ZusatzVerfahren</t>
  </si>
  <si>
    <t>OrtDesVerbringens</t>
  </si>
  <si>
    <t>ErwerberImAnderenMitgliedstaat</t>
  </si>
  <si>
    <t>ErwerberImAnderenMitgliedstaatUST_Id</t>
  </si>
  <si>
    <t>RechnungsDatum</t>
  </si>
  <si>
    <t>Verkaeufer</t>
  </si>
  <si>
    <t>VertragsNr</t>
  </si>
  <si>
    <t>VertragsDatum</t>
  </si>
  <si>
    <t>FrachtKostenPosition</t>
  </si>
  <si>
    <t>FrachtKostenPositionWaehrung</t>
  </si>
  <si>
    <t>VersicherungsKostenPosition</t>
  </si>
  <si>
    <t>VersicherungsKostenPositionWaehrung</t>
  </si>
  <si>
    <t>KontenReferenz</t>
  </si>
  <si>
    <t>BefMittelGrenzeKennzeichen</t>
  </si>
  <si>
    <t>BefMittelGrenzeBeschreibung</t>
  </si>
  <si>
    <t>BefMittelGrenzeVerkzweigCode</t>
  </si>
  <si>
    <t>BefMittelGrenzeNatCode</t>
  </si>
  <si>
    <t>BefMittelAnkunftKennzeichen</t>
  </si>
  <si>
    <t>BefMittelAnkunftVerkzweigCode</t>
  </si>
  <si>
    <t>BefMittelAbgangKennzeichen</t>
  </si>
  <si>
    <t>BefMittelAbgangVerkzweigCode</t>
  </si>
  <si>
    <t>BefMittelAbgangNatCode</t>
  </si>
  <si>
    <t>DrittlandsZollsatzKalkuliert</t>
  </si>
  <si>
    <t>PraeferenzZollsatzKalkuliert</t>
  </si>
  <si>
    <t>AntiDumpingZollsatzKalkuliert</t>
  </si>
  <si>
    <t>RegistriernummerDerEgz</t>
  </si>
  <si>
    <t>PositionsNummerInnerhalbDerEgz</t>
  </si>
  <si>
    <t>PvScheinNr</t>
  </si>
  <si>
    <t>PvScheinDatum</t>
  </si>
  <si>
    <t>AbwicklungsModellCode</t>
  </si>
  <si>
    <t>RechnungsWertGesamtWaehrung</t>
  </si>
  <si>
    <t>PraeferenzArt</t>
  </si>
  <si>
    <t>PraeferenzNummer</t>
  </si>
  <si>
    <t>EustsatzZoll</t>
  </si>
  <si>
    <t>KennzeichenErledigungATLAS</t>
  </si>
  <si>
    <t>Warengruppe</t>
  </si>
  <si>
    <t>AWBNummer</t>
  </si>
  <si>
    <t>Containerbeladeart</t>
  </si>
  <si>
    <t>Abrechnungsperiode</t>
  </si>
  <si>
    <t>BonusBetrag</t>
  </si>
  <si>
    <t>PRCBetrag</t>
  </si>
  <si>
    <t>Textilkategorie</t>
  </si>
  <si>
    <t>Entladeort</t>
  </si>
  <si>
    <t>Eta</t>
  </si>
  <si>
    <t>Saisonkennzeichen</t>
  </si>
  <si>
    <t>Ziellagerstaette</t>
  </si>
  <si>
    <t>UrsprungsZeugnisGesamtmenge</t>
  </si>
  <si>
    <t>AbgabenAntidumpingZoll</t>
  </si>
  <si>
    <t>AbgabenAntidumpingKalkuliert</t>
  </si>
  <si>
    <t>AntidumpingsatzZoll</t>
  </si>
  <si>
    <t>EustsatzKalkuliert</t>
  </si>
  <si>
    <t>SonstigeAbgabenZoll</t>
  </si>
  <si>
    <t>SonstigeAbgabenKalkuliertDummy</t>
  </si>
  <si>
    <t>EmpfaengerCode_Abgang</t>
  </si>
  <si>
    <t>BestimmungslandIsoCode_Abgang</t>
  </si>
  <si>
    <t>AvVerkehr</t>
  </si>
  <si>
    <t>Abgangslagerstaette</t>
  </si>
  <si>
    <t>UeberlassungDatum</t>
  </si>
  <si>
    <t>RechnungsNettoWertPositionVorerwerber</t>
  </si>
  <si>
    <t>RechnungsWaehrungVorerwerber</t>
  </si>
  <si>
    <t>RechnungsNummerVorerwerber</t>
  </si>
  <si>
    <t>Vorerwerberzuschlagprostueck</t>
  </si>
  <si>
    <t>VorerwerberzuschlagprostueckWaehrung</t>
  </si>
  <si>
    <t>Vorerwerberzuschlagprozent</t>
  </si>
  <si>
    <t>VorerwerberZollwertDifferenz</t>
  </si>
  <si>
    <t>DatumErstellungSteuerbescheid</t>
  </si>
  <si>
    <t>DatumErstZugangSdg</t>
  </si>
  <si>
    <t>UhrzeitErstZugangSdg</t>
  </si>
  <si>
    <t>DatumErstRueckmeldung</t>
  </si>
  <si>
    <t>UhrzeitErstRueckmeldung</t>
  </si>
  <si>
    <t>RegistriernummerZugangVZAAZ</t>
  </si>
  <si>
    <t>RegistriernummerZugangEgz</t>
  </si>
  <si>
    <t>AtlasTeilEgzMappenNr</t>
  </si>
  <si>
    <t>VstArt</t>
  </si>
  <si>
    <t>VstMenge</t>
  </si>
  <si>
    <t>VstMasseinheit</t>
  </si>
  <si>
    <t>VstGradinprozent</t>
  </si>
  <si>
    <t>VstWert</t>
  </si>
  <si>
    <t>VstWertWaehrung</t>
  </si>
  <si>
    <t>AufschubnehmerZoll</t>
  </si>
  <si>
    <t>AufschubktonrZoll</t>
  </si>
  <si>
    <t>AufschubnehmerEust</t>
  </si>
  <si>
    <t>AufschubktonrEust</t>
  </si>
  <si>
    <t>AufschubartWeitere</t>
  </si>
  <si>
    <t>AufschubzollnrWeitere</t>
  </si>
  <si>
    <t>AufschubktonrWeitere</t>
  </si>
  <si>
    <t>LagerentnahmeVerfuegender</t>
  </si>
  <si>
    <t>LagerentnahmeWeitererNachweis</t>
  </si>
  <si>
    <t>LagerentnahmeLagerstaette</t>
  </si>
  <si>
    <t>AbgabenZollZuZahlen</t>
  </si>
  <si>
    <t>AbgabenZollAngewPVMind</t>
  </si>
  <si>
    <t>AuftragsnrHost</t>
  </si>
  <si>
    <t>WarenmengeZoll</t>
  </si>
  <si>
    <t>WarenmengeZollMengeneinheit</t>
  </si>
  <si>
    <t>VerschlussArt</t>
  </si>
  <si>
    <t>Verschluesse</t>
  </si>
  <si>
    <t>Hinzurechnungabzuege_007</t>
  </si>
  <si>
    <t>EGZMappenTyp</t>
  </si>
  <si>
    <t>ZollantragsNummer</t>
  </si>
  <si>
    <t>DokumentenListeAlsString</t>
  </si>
  <si>
    <t>HinzurechnAbzugDaten</t>
  </si>
  <si>
    <t>KostenProZapZolldienstleistung</t>
  </si>
  <si>
    <t>AdditionalId</t>
  </si>
  <si>
    <t>AdditionalId2</t>
  </si>
  <si>
    <t>AbgabeDatumO006</t>
  </si>
  <si>
    <t>AbgabeZeitO006</t>
  </si>
  <si>
    <t>LogbuchFreigabeDatumO006</t>
  </si>
  <si>
    <t>LogbuchFreigabeZeitO006</t>
  </si>
  <si>
    <t>CustomAttribute1</t>
  </si>
  <si>
    <t>BewilligungsInhaber</t>
  </si>
  <si>
    <t>BewilligungsNrVereinfVerfahren</t>
  </si>
  <si>
    <t>BewilligungsnrFachverfahren</t>
  </si>
  <si>
    <t>Empfaenger</t>
  </si>
  <si>
    <t>Anmelder</t>
  </si>
  <si>
    <t>CustomAttribute2</t>
  </si>
  <si>
    <t>CustomAttribute3</t>
  </si>
  <si>
    <t>AnmelderUstID</t>
  </si>
  <si>
    <t>Finanzamt</t>
  </si>
  <si>
    <t>Mandatsreferenznummer</t>
  </si>
  <si>
    <t>AngabenZurZollmenge</t>
  </si>
  <si>
    <t>Verkehrstraeger</t>
  </si>
  <si>
    <t>VertreterAnmelder</t>
  </si>
  <si>
    <t>VertreterZollwertanmelder</t>
  </si>
  <si>
    <t>VertretungsverhaeltnisAnmelder</t>
  </si>
  <si>
    <t>VertretungsverhaeltnisZollwertanmelder</t>
  </si>
  <si>
    <t>Artikelvariante</t>
  </si>
  <si>
    <t>Seriennummer</t>
  </si>
  <si>
    <t>KennzeichenAbgabensteuerung</t>
  </si>
  <si>
    <t>TrennmerkmalEgz</t>
  </si>
  <si>
    <t>LvsIdDesVorhergZugangs</t>
  </si>
  <si>
    <t>MengeDesVorhergZugangs</t>
  </si>
  <si>
    <t>DispoMengeDesVorhergZugangs</t>
  </si>
  <si>
    <t>BuchMengeDesVohergZugangs</t>
  </si>
  <si>
    <t>ZollanmeldungDate</t>
  </si>
  <si>
    <t>EuCode</t>
  </si>
  <si>
    <t>SumA_Beendigung_ATB_Nr</t>
  </si>
  <si>
    <t>SumA_Beendigung_BetrieblicheID</t>
  </si>
  <si>
    <t>MeldungAnAtlasDurch</t>
  </si>
  <si>
    <t>Praeferenzursprungsland</t>
  </si>
  <si>
    <t>SQRO0045723</t>
  </si>
  <si>
    <t>SQRO0045723/0001</t>
  </si>
  <si>
    <t>NLU</t>
  </si>
  <si>
    <t>DE003302</t>
  </si>
  <si>
    <t>ATLAS_EZA</t>
  </si>
  <si>
    <t>STEUERGERÄT</t>
  </si>
  <si>
    <t>STEUERGERÄT für Autoscheinwerfer</t>
  </si>
  <si>
    <t>PK</t>
  </si>
  <si>
    <t>84B9655A-FD8D-40F18489-FA85119561CF</t>
  </si>
  <si>
    <t>DAP</t>
  </si>
  <si>
    <t>Lippstadt</t>
  </si>
  <si>
    <t>USD</t>
  </si>
  <si>
    <t>MX</t>
  </si>
  <si>
    <t>NaN</t>
  </si>
  <si>
    <t>ATNEU</t>
  </si>
  <si>
    <t>ATC400014140420253302/00001</t>
  </si>
  <si>
    <t>DE2</t>
  </si>
  <si>
    <t>SIIX EMS MEXICO S. DE R.L. DE C.V.,San Luis Potosí,78423,Av. Santiago Poniente No. 108,MX</t>
  </si>
  <si>
    <t>Frankfurt</t>
  </si>
  <si>
    <t>SIIX EMS MEXICO S. DE R.L. DE C.V.,San Luis Potosí</t>
  </si>
  <si>
    <t>LU</t>
  </si>
  <si>
    <t>Flugzeug</t>
  </si>
  <si>
    <t>S-F-FMO LUFT 4000</t>
  </si>
  <si>
    <t>DE2393166 HELLA GmbH &amp; Co. KGa</t>
  </si>
  <si>
    <t>202504-131</t>
  </si>
  <si>
    <t>[4,N380,84B9655A-FD8D-40F18489-FA85119561CF,18.03.2025][4,7HHP,17291434803 QRO0045723,21.03.2025][5,Y069,,06.11.2024][5,Y160,,06.11.2024][4,7HHG,84B9655A-FD8D-40F18489-FA85119561CF,18.03.2025][4,7HHZ,84B9655A-FD8D-40F18489-FA85119561CF,18.03.2025]</t>
  </si>
  <si>
    <t>[LFR-3,797.78,N,USD,N,,,],[012,135.04,USD,N,N,,],</t>
  </si>
  <si>
    <t>DE2393166-0000,HELLA GMBH &amp; CO. KGAAUST</t>
  </si>
  <si>
    <t>DE2329875-0024,DSV Air &amp; Sea Germany GmbH - Westerkappeln</t>
  </si>
  <si>
    <t>schiwekmi</t>
  </si>
  <si>
    <t>25DE3302DCA0015FR6/01</t>
  </si>
  <si>
    <t>SIIX EMS MEXICO S. DE R.L. DE</t>
  </si>
  <si>
    <t>SIIX</t>
  </si>
  <si>
    <t>Z</t>
  </si>
  <si>
    <t>[84B9655A-FD8D-40F18489-FA85119561CF,250318,87121.92,USD]</t>
  </si>
  <si>
    <t>SZSN7076556</t>
  </si>
  <si>
    <t>SZSN7076556/0001</t>
  </si>
  <si>
    <t>HKG</t>
  </si>
  <si>
    <t>DE003306</t>
  </si>
  <si>
    <t>Gedruckte Schaltungen,hier: Mehrlagenschaltungen / Leiterplatten</t>
  </si>
  <si>
    <t>NL25040106</t>
  </si>
  <si>
    <t>Wembach</t>
  </si>
  <si>
    <t>EUR</t>
  </si>
  <si>
    <t>HK</t>
  </si>
  <si>
    <t>CN</t>
  </si>
  <si>
    <t>OHNE</t>
  </si>
  <si>
    <t>ATC400001020420253306/00001</t>
  </si>
  <si>
    <t>ATA000001410420253306</t>
  </si>
  <si>
    <t>OnBoard-Kurier:  Name: Mr. Man Cheong Lau</t>
  </si>
  <si>
    <t>Rayben Technologies (HK) Limited,Shatin, Hong Kong,19 Science Park West Avenue,HK</t>
  </si>
  <si>
    <t>Rayben Technologies (HK) Limited,Shatin, Hong Kong</t>
  </si>
  <si>
    <t>DE2329875 DSV Air &amp; Sea German</t>
  </si>
  <si>
    <t>202504-1360</t>
  </si>
  <si>
    <t>[4,N380,NL25040106,03.04.2025][4,7HHP,OnBoard-Kurier: Mr.Man Cheong Lau,09.04.2025][4,7HHG,NL25040106,03.04.2025][4,7HHZ,NL25040106,03.04.2025]</t>
  </si>
  <si>
    <t>[LFR-3,6100.0,,EUR,,,,]</t>
  </si>
  <si>
    <t>DE4529340,HELLA Innenleuchten-Systeme GmbH</t>
  </si>
  <si>
    <t>DE4529340-,HELLA Innenleuchten-Systeme GmbH</t>
  </si>
  <si>
    <t>25DE3306DCA0002PR0/01</t>
  </si>
  <si>
    <t>Rayben Technologies (HK) Limit</t>
  </si>
  <si>
    <t>HELLA Innenleuchten-Systeme Gm</t>
  </si>
  <si>
    <t>Rayb</t>
  </si>
  <si>
    <t>[NL25040106,250403,3773.39,EUR]</t>
  </si>
  <si>
    <t>SHKG1308921-A</t>
  </si>
  <si>
    <t>SHKG1308921-A/0001</t>
  </si>
  <si>
    <t>SHKG1308921</t>
  </si>
  <si>
    <t>Mehrlagenschaltungen / Leiterplatten</t>
  </si>
  <si>
    <t>HK132425040005 HK132425040006</t>
  </si>
  <si>
    <t>EXW</t>
  </si>
  <si>
    <t>Hong Kong</t>
  </si>
  <si>
    <t>ATC400215310420253302/00001</t>
  </si>
  <si>
    <t>Packstück</t>
  </si>
  <si>
    <t>KINWONG ELECTRONIC (HONG KONG) LIMITED,Tsuen Fanling,0,AU PUI WAN STREET 36,HK</t>
  </si>
  <si>
    <t>KINWONG ELECTRONIC (HONG KONG) LIMITED,Tsuen Fanli</t>
  </si>
  <si>
    <t>DE</t>
  </si>
  <si>
    <t>202504-1668</t>
  </si>
  <si>
    <t>[4,N380,HK132425040005,08.04.2025][4,N380,HK132425040006,08.04.2025][4,7HHP,020-30950850 HKG1308921,10.04.2025][4,7HHG,020-30950850 HKG1308921,10.04.2025]</t>
  </si>
  <si>
    <t>[LFR-1,2079.31,,EUR,,,,],[011,359.72,EUR,,,,],</t>
  </si>
  <si>
    <t>wolf</t>
  </si>
  <si>
    <t>25DE3302DCA00HKBR6/01</t>
  </si>
  <si>
    <t>KINWONG ELECTRONIC (HONG KONG)</t>
  </si>
  <si>
    <t>KINW</t>
  </si>
  <si>
    <t>V</t>
  </si>
  <si>
    <t>Gewicht</t>
  </si>
  <si>
    <t>[HK132425040005,250408,2730.24,EUR][HK132425040005,250408,1592.64,EUR]</t>
  </si>
  <si>
    <t>SQRO0045994</t>
  </si>
  <si>
    <t>SQRO0045994/0001</t>
  </si>
  <si>
    <t>41084651-A125-460392E4-A3803D2D4423</t>
  </si>
  <si>
    <t>ATC400256830420253302/00001</t>
  </si>
  <si>
    <t>202504-1936</t>
  </si>
  <si>
    <t>[4,N380,41084651-A125-460392E4-A3803D2D4423,31.03.2025][4,7HHP,17292189355 QRO0045994,02.04.2025][5,Y069,,06.11.2024][5,Y160,,06.11.2024][4,7HHG,41084651-A125-460392E4-A3803D2D4423,31.03.2025][4,7HHZ,41084651-A125-460392E4-A3803D2D4423,31.03.2025]</t>
  </si>
  <si>
    <t>[LFR-3,1019.7,N,USD,N,,,],[012,202.56,USD,N,N,,],</t>
  </si>
  <si>
    <t>25DE3302DCA00KYZR7/01</t>
  </si>
  <si>
    <t>[41084651-A125-460392E4-A3803D2D4423,250331,130682.88,USD]</t>
  </si>
  <si>
    <t>SZSN7076620</t>
  </si>
  <si>
    <t>SZSN7076620/0001</t>
  </si>
  <si>
    <t>SZX</t>
  </si>
  <si>
    <t>NL25040232 NL25040233 NL25040234</t>
  </si>
  <si>
    <t>FCA</t>
  </si>
  <si>
    <t>ATC400258470420253302/00001</t>
  </si>
  <si>
    <t>202504-1954</t>
  </si>
  <si>
    <t>[4,N380,NL25040232,09.04.2025][4,N380,NL25040233,09.04.2025][4,N380,NL25040234,09.04.2025][4,7HHP,999-32153774 ZSN7076620,10.04.2025][4,7HHG,NL25040232,09.04.2025][4,7HHZ,NL25040232,09.04.2025]</t>
  </si>
  <si>
    <t>[LFR-3,2393.83,,EUR,,,,],[011,414.38,EUR,,,,],</t>
  </si>
  <si>
    <t>25DE3302DCA00L3NR9/01</t>
  </si>
  <si>
    <t>[NL25040232,250409,4928.31,EUR][NL25040232,250409,4567.43,EUR][NL25040232,250409,4865.40,EUR]</t>
  </si>
  <si>
    <t>SHKG1311544</t>
  </si>
  <si>
    <t>SHKG1311544/0001</t>
  </si>
  <si>
    <t>234.070-01</t>
  </si>
  <si>
    <t>Gedruckte Schaltungen - nur mit Leiterbahnen oder Kontakten,hier: Mehrlagenschaltungen</t>
  </si>
  <si>
    <t>TC58596-3D04I</t>
  </si>
  <si>
    <t>FOB</t>
  </si>
  <si>
    <t>HONG KONG</t>
  </si>
  <si>
    <t>ATC400392280420253302/00001</t>
  </si>
  <si>
    <t>TECHWISE(MACAO)CIRCUITS Ltd.,Macau,00000,Da praia Grande N° 599,MO</t>
  </si>
  <si>
    <t>TECHWISE(MACAO)CIRCUITS Ltd.,Macau,00000,Da praia</t>
  </si>
  <si>
    <t>202504-2954</t>
  </si>
  <si>
    <t>[4,N380,TC58596-3D04I,13.04.2025][4,7HHP,02030950916 HKG1311544,18.04.2025][4,7HHG,TC58596-3D04I,13.04.2025][4,7HHZ,TC58596-3D04I,13.04.2025]</t>
  </si>
  <si>
    <t>[LFR-1,251.8,,EUR,,,,],[012,2.8,EUR,,,,],</t>
  </si>
  <si>
    <t>25DE3302DCA00X16R1/01</t>
  </si>
  <si>
    <t>TECHWISE(MACAO)</t>
  </si>
  <si>
    <t>TECH</t>
  </si>
  <si>
    <t>[TC58596-3D04I,250413,1806.94,EUR]</t>
  </si>
  <si>
    <t>SSZX71000388</t>
  </si>
  <si>
    <t>SSZX71000388/0001</t>
  </si>
  <si>
    <t>KW12102504170001</t>
  </si>
  <si>
    <t>Shenzhen</t>
  </si>
  <si>
    <t>ATC400405280420253302/00001</t>
  </si>
  <si>
    <t>KINWONG ELECTRONIC(HONGKONG) LIMITED,HONG KONG,00000,36 AU PUI WAN STREET FO TAN,HK</t>
  </si>
  <si>
    <t>KINWONG ELECTRONIC(HONGKONG) LIMITED,HONG KONG,000</t>
  </si>
  <si>
    <t>202504-3082</t>
  </si>
  <si>
    <t>[4,N380,KW12102504170001,17.04.2025][4,7HHP,02030951126 SZX71000388,20.04.2025][4,7HHG,KW12102504170001,17.04.2025][4,7HHZ,KW12102504170001,17.04.2025]</t>
  </si>
  <si>
    <t>[LFR-1,1142.88,,EUR,,,,],[012,14.9,EUR,,,,],[011,393.67,EUR,,,,],</t>
  </si>
  <si>
    <t>25DE3302DCA00Y3BR2/01</t>
  </si>
  <si>
    <t>KINWONG ELECTRONIC</t>
  </si>
  <si>
    <t>[KW12102504170001,250417,9612.84,EUR]</t>
  </si>
  <si>
    <t>SSPK0264878</t>
  </si>
  <si>
    <t>SSPK0264878/0001</t>
  </si>
  <si>
    <t>BKK</t>
  </si>
  <si>
    <t>Axialventilator</t>
  </si>
  <si>
    <t>NAR</t>
  </si>
  <si>
    <t>BANGKOK</t>
  </si>
  <si>
    <t>TH</t>
  </si>
  <si>
    <t>ATC400415190420253302/00001</t>
  </si>
  <si>
    <t>DELTA ELECTRONICS(THAILAND)PUBLIC COMPANY LIMITED,CHACHOENGSAO,24180,111 MOO 9,BANGNA-TRAD ROAD,TH</t>
  </si>
  <si>
    <t>DELTA ELECTRONICS(THAILAND)PUBLIC COMPANY LIMITED,</t>
  </si>
  <si>
    <t>202504-3139</t>
  </si>
  <si>
    <t>[4,N380,9404416357,21.03.2025][4,7HHP,21704034181 SPK0264878,21.04.2025][5,Y069,,][4,7HHG,9404416357,21.03.2025][4,7HHZ,9404416357,21.03.2025]</t>
  </si>
  <si>
    <t>[LFR-1,1987.44,,EUR,,,,],[012,44.46,USD,N,N,,],[011,136,EUR,,,,],</t>
  </si>
  <si>
    <t>25DE3302DCA00YWMR7/01</t>
  </si>
  <si>
    <t>DELTA ELECTRONICS(THAILAND)PUB</t>
  </si>
  <si>
    <t>DELT</t>
  </si>
  <si>
    <t>[9404416357,250321,28684.80,USD]</t>
  </si>
  <si>
    <t>SHAN0394305</t>
  </si>
  <si>
    <t>SHAN0394305/0001</t>
  </si>
  <si>
    <t>HAN</t>
  </si>
  <si>
    <t>Elektronisches Steuergerät für Kfz-Scheinwerfer</t>
  </si>
  <si>
    <t>UHAN_INV05870</t>
  </si>
  <si>
    <t>HANOI</t>
  </si>
  <si>
    <t>VN</t>
  </si>
  <si>
    <t>ATC400055070520253302/00001</t>
  </si>
  <si>
    <t>Unigen Vietnam Hanoi Co.Ltd.,Tu Son Town, Bac Ninh Province,10000,No 11, Street 08, VSIP Bac Ninh,VN</t>
  </si>
  <si>
    <t>UNIGEN CORPORATION,Newark,CA,94560,39730 Eureka Dr</t>
  </si>
  <si>
    <t>TR</t>
  </si>
  <si>
    <t>202505-320</t>
  </si>
  <si>
    <t>[4,N380,UHAN_INV05870,24.04.2025][5,Y069,,][5,Y160,,][4,7HHP,23594239736 HAN0394305,30.04.2025][4,7HHG,UHAN_INV05870,24.04.2025][4,7HHZ,UHAN_INV05870,24.04.2025]</t>
  </si>
  <si>
    <t>[LFR-1,4600.0,N,USD,N,,,],[012,155.84,USD,N,N,,],</t>
  </si>
  <si>
    <t>25DE3302ECA004HDR1/01</t>
  </si>
  <si>
    <t>UNIGEN CORPORATION</t>
  </si>
  <si>
    <t>Unig</t>
  </si>
  <si>
    <t>[UHAN_INV05870,250424,100543.68,USD]</t>
  </si>
  <si>
    <t>SQRO0046448</t>
  </si>
  <si>
    <t>SQRO0046448/0001</t>
  </si>
  <si>
    <t>4FF9AA4C-4710-4232-8489FD25BA77EB19</t>
  </si>
  <si>
    <t>ATC400065720520253302/00001</t>
  </si>
  <si>
    <t>202505-394</t>
  </si>
  <si>
    <t>[4,N380,4FF9AA4C-4710-4232-8489FD25BA77EB19,22.04.2025][4,7HHP,17292190265 QRO0046448,24.04.2025][5,Y069,,06.11.2024][5,Y160,,06.11.2024][4,7HHG,4FF9AA4C-4710-4232-8489FD25BA77EB19,22.04.2025][4,7HHZ,4FF9AA4C-4710-4232-8489FD25BA77EB19,22.04.2025]</t>
  </si>
  <si>
    <t>[LFR-3,257.15,N,USD,N,,,],[012,7.03,USD,N,N,,],</t>
  </si>
  <si>
    <t>25DE3302ECA005CTR0/01</t>
  </si>
  <si>
    <t>[4FF9AA4C-4710-4232-8489FD25BA77EB19,250422,4537.60,USD]</t>
  </si>
  <si>
    <t>SSFO0157569</t>
  </si>
  <si>
    <t>SSFO0157569/0001</t>
  </si>
  <si>
    <t>LAX</t>
  </si>
  <si>
    <t>DE002601</t>
  </si>
  <si>
    <t>Heckleuchte für Kraftfahrzeuge</t>
  </si>
  <si>
    <t>US-DE-JP-04242025</t>
  </si>
  <si>
    <t>US</t>
  </si>
  <si>
    <t>ATC400005670520252601/00001</t>
  </si>
  <si>
    <t>Lucid USA Inc.,Newark,CA,94560,7373 Gateway Blvd.,US</t>
  </si>
  <si>
    <t>Düsseldorf</t>
  </si>
  <si>
    <t>Lucid USA Inc.,Newark,CA,94560,7373 Gateway Blvd.,</t>
  </si>
  <si>
    <t>202505-534</t>
  </si>
  <si>
    <t>[4,N380,US-DE-JP-04242025,24.04.2025][4,7HHP,02000366015 SFO0157569,29.04.2025][4,7HHG,US-DE-JP-04242025,24.04.2025][4,7HHZ,US-DE-JP-04242025,24.04.2025]</t>
  </si>
  <si>
    <t>[LFR-3,303.0,N,USD,N,,,],[012,2.45,USD,N,N,,],</t>
  </si>
  <si>
    <t>25DE2601ECA000G7R0/01</t>
  </si>
  <si>
    <t>Lucid USA Inc.</t>
  </si>
  <si>
    <t>Luci</t>
  </si>
  <si>
    <t>[US-DE-JP-04242025,250424,1583.52,USD]</t>
  </si>
  <si>
    <t>SSZX71003019</t>
  </si>
  <si>
    <t>SSZX71003019/0001</t>
  </si>
  <si>
    <t>Mikrolinsen-Arrays  - Optikelement für Kfz</t>
  </si>
  <si>
    <t>0090009360 0090009361 0090009362</t>
  </si>
  <si>
    <t>CNY</t>
  </si>
  <si>
    <t>ATC400087380520253302/00001</t>
  </si>
  <si>
    <t>Focuslight (Shaoguan) Optoelectronics Co.Ltd.,Shaoguan City,Guangdong Province,00000,No. 32 Muyang Avenue,CN</t>
  </si>
  <si>
    <t>Focuslight (Shaoguan) Optoelectronics Co.Ltd.,Shao</t>
  </si>
  <si>
    <t>202505-551</t>
  </si>
  <si>
    <t>[4,N380,0090009360,24.04.2025][4,N380,0090009361,24.04.2025][4,N380,0090009362,24.04.2025][5,Y069,,][4,7HHP,78440068416 SZX71003019,27.04.2025][4,7HHG,0090009360,24.04.2025][4,7HHZ,0090009360,24.04.2025]</t>
  </si>
  <si>
    <t>[LFR-3,8073.0,N,CNY,N,,,],[012,508.69,EUR,,,,],</t>
  </si>
  <si>
    <t>25DE3302ECA0074PR8/01</t>
  </si>
  <si>
    <t>Focuslight (Shaoguan) Optoelec</t>
  </si>
  <si>
    <t>Focu</t>
  </si>
  <si>
    <t>[0090009360,250424,32818.50,EUR][0090009360,250424,131274.00,EUR][0090009360,250424,164092.50,EUR]</t>
  </si>
  <si>
    <t>Date Format</t>
  </si>
  <si>
    <t>01.01.24</t>
  </si>
  <si>
    <t>Air</t>
  </si>
  <si>
    <t>permanent import</t>
  </si>
  <si>
    <t>02.01.24</t>
  </si>
  <si>
    <t>DE004851</t>
  </si>
  <si>
    <t>HAM</t>
  </si>
  <si>
    <t>LKW</t>
  </si>
  <si>
    <t>Truck</t>
  </si>
  <si>
    <t>temporary import</t>
  </si>
  <si>
    <t>03.01.24</t>
  </si>
  <si>
    <t>DUS</t>
  </si>
  <si>
    <t>.</t>
  </si>
  <si>
    <t>not specified</t>
  </si>
  <si>
    <t>04.01.24</t>
  </si>
  <si>
    <t>Schiff</t>
  </si>
  <si>
    <t>Sea</t>
  </si>
  <si>
    <t>05.01.24</t>
  </si>
  <si>
    <t>EVER ALP</t>
  </si>
  <si>
    <t>06.01.24</t>
  </si>
  <si>
    <t>07.01.24</t>
  </si>
  <si>
    <t>08.01.24</t>
  </si>
  <si>
    <t>09.01.24</t>
  </si>
  <si>
    <t>01.02.24</t>
  </si>
  <si>
    <t>02.02.24</t>
  </si>
  <si>
    <t>03.02.24</t>
  </si>
  <si>
    <t>04.02.24</t>
  </si>
  <si>
    <t>05.02.24</t>
  </si>
  <si>
    <t>06.02.24</t>
  </si>
  <si>
    <t>07.02.24</t>
  </si>
  <si>
    <t>08.02.24</t>
  </si>
  <si>
    <t>09.02.24</t>
  </si>
  <si>
    <t>01.03.24</t>
  </si>
  <si>
    <t>02.03.24</t>
  </si>
  <si>
    <t>03.03.24</t>
  </si>
  <si>
    <t>04.03.24</t>
  </si>
  <si>
    <t>05.03.24</t>
  </si>
  <si>
    <t>06.03.24</t>
  </si>
  <si>
    <t>07.03.24</t>
  </si>
  <si>
    <t>08.03.24</t>
  </si>
  <si>
    <t>09.03.24</t>
  </si>
  <si>
    <t>Cement</t>
  </si>
  <si>
    <t>Iron and Steel</t>
  </si>
  <si>
    <t>Aluminium</t>
  </si>
  <si>
    <t>Fertilisers</t>
  </si>
  <si>
    <t xml:space="preserve">Electricity </t>
  </si>
  <si>
    <t>Hydrogen</t>
  </si>
  <si>
    <t>Not applicable</t>
  </si>
  <si>
    <t>De minimis</t>
  </si>
  <si>
    <t>EFTA exeption</t>
  </si>
  <si>
    <t>Limited exception per electricity import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</si>
</sst>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;@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center" vertical="center" wrapText="1" readingOrder="1"/>
    </xf>
    <xf numFmtId="0" fontId="1" fillId="0" borderId="2" xfId="0" applyFont="1" applyBorder="1"/>
    <xf numFmtId="0" fontId="0" fillId="0" borderId="2" xfId="0" applyBorder="1"/>
    <xf numFmtId="176" fontId="0" fillId="0" borderId="2" xfId="0" applyNumberFormat="1" applyBorder="1"/>
    <xf numFmtId="0" fontId="1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wrapText="1" readingOrder="1"/>
    </xf>
    <xf numFmtId="0" fontId="1" fillId="4" borderId="2" xfId="0" applyFont="1" applyFill="1" applyBorder="1"/>
    <xf numFmtId="0" fontId="1" fillId="0" borderId="2" xfId="0" applyFont="1" applyBorder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left" readingOrder="1"/>
    </xf>
    <xf numFmtId="0" fontId="4" fillId="4" borderId="0" xfId="0" applyFont="1" applyFill="1" applyAlignment="1">
      <alignment horizontal="left" readingOrder="1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58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0" fontId="1" fillId="0" borderId="0" xfId="0" applyFont="1"/>
    <xf numFmtId="0" fontId="1" fillId="2" borderId="0" xfId="0" applyFont="1" applyFill="1"/>
    <xf numFmtId="176" fontId="1" fillId="0" borderId="0" xfId="0" applyNumberFormat="1" applyFont="1" applyAlignment="1">
      <alignment wrapText="1"/>
    </xf>
    <xf numFmtId="0" fontId="8" fillId="2" borderId="5" xfId="0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 readingOrder="1"/>
    </xf>
    <xf numFmtId="176" fontId="8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 readingOrder="1"/>
    </xf>
    <xf numFmtId="176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1" fillId="0" borderId="2" xfId="0" applyNumberFormat="1" applyFont="1" applyBorder="1"/>
    <xf numFmtId="0" fontId="8" fillId="2" borderId="5" xfId="0" applyFont="1" applyFill="1" applyBorder="1" applyAlignment="1">
      <alignment horizontal="center" vertical="center"/>
    </xf>
    <xf numFmtId="0" fontId="0" fillId="0" borderId="2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4"/>
  <sheetViews>
    <sheetView workbookViewId="0">
      <selection activeCell="C6" sqref="C6"/>
    </sheetView>
  </sheetViews>
  <sheetFormatPr defaultColWidth="9.140625" defaultRowHeight="13.6"/>
  <cols>
    <col min="1" max="1" width="24.5703125" style="25" customWidth="1"/>
    <col min="2" max="2" width="10.7109375" style="25" customWidth="1"/>
    <col min="3" max="3" width="45.140625" style="1" customWidth="1"/>
    <col min="4" max="4" width="11" style="1" customWidth="1"/>
    <col min="5" max="5" width="12.7109375" style="27" customWidth="1"/>
    <col min="6" max="6" width="21.2890625" style="27" customWidth="1"/>
    <col min="7" max="7" width="12.7109375" style="1" customWidth="1"/>
    <col min="8" max="8" width="15.7109375" style="1" customWidth="1"/>
    <col min="9" max="35" width="19.859375" style="1" customWidth="1"/>
    <col min="36" max="36" width="34.859375" style="1" customWidth="1"/>
    <col min="37" max="40" width="19.859375" style="1" customWidth="1"/>
    <col min="41" max="41" width="22.4296875" style="25" customWidth="1"/>
    <col min="42" max="42" width="20" style="25" customWidth="1"/>
    <col min="43" max="43" width="12.2890625" style="25" customWidth="1"/>
    <col min="44" max="44" width="11.7109375" style="25" customWidth="1"/>
    <col min="45" max="16384" width="9.140625" style="25"/>
  </cols>
  <sheetData>
    <row r="1" s="26" customFormat="1" ht="41" spans="1:44">
      <c r="A1" s="28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30" t="s">
        <v>5</v>
      </c>
      <c r="G1" s="31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31" t="s">
        <v>11</v>
      </c>
      <c r="M1" s="31" t="s">
        <v>12</v>
      </c>
      <c r="N1" s="28" t="s">
        <v>13</v>
      </c>
      <c r="O1" s="31" t="s">
        <v>14</v>
      </c>
      <c r="P1" s="31" t="s">
        <v>15</v>
      </c>
      <c r="Q1" s="28" t="s">
        <v>16</v>
      </c>
      <c r="R1" s="28" t="s">
        <v>17</v>
      </c>
      <c r="S1" s="31" t="s">
        <v>18</v>
      </c>
      <c r="T1" s="28" t="s">
        <v>19</v>
      </c>
      <c r="U1" s="31" t="s">
        <v>20</v>
      </c>
      <c r="V1" s="31" t="s">
        <v>21</v>
      </c>
      <c r="W1" s="28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28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  <c r="AG1" s="31" t="s">
        <v>32</v>
      </c>
      <c r="AH1" s="31" t="s">
        <v>33</v>
      </c>
      <c r="AI1" s="31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35" t="s">
        <v>39</v>
      </c>
      <c r="AO1" s="28" t="s">
        <v>40</v>
      </c>
      <c r="AP1" s="35" t="s">
        <v>41</v>
      </c>
      <c r="AQ1" s="28" t="s">
        <v>42</v>
      </c>
      <c r="AR1" s="28" t="s">
        <v>43</v>
      </c>
    </row>
    <row r="2" s="4" customFormat="1" spans="1:40">
      <c r="A2" s="4" t="str">
        <f>'Input AC Report '!BL2</f>
        <v>ATC400014140420253302/00001</v>
      </c>
      <c r="B2" s="4">
        <f>'Input AC Report '!G2</f>
        <v>1</v>
      </c>
      <c r="C2" s="4" t="str">
        <f>'Input AC Report '!GO2</f>
        <v>DE2393166-0000,HELLA GMBH &amp; CO. KGAAUST</v>
      </c>
      <c r="D2" s="4" t="str">
        <f>LEFT(C2,9)</f>
        <v>DE2393166</v>
      </c>
      <c r="E2" s="32" t="str">
        <f>_xlfn.IFNA(VLOOKUP('Input AC Report '!DU2,Validation!A:B,2,FALSE),"")</f>
        <v/>
      </c>
      <c r="F2" s="32" t="str">
        <f>_xlfn.IFNA(VLOOKUP('Input AC Report '!EQ2,Validation!A:B,2,FALSE),"")</f>
        <v/>
      </c>
      <c r="G2" s="33" t="s">
        <v>44</v>
      </c>
      <c r="H2" s="4" t="str">
        <f>LEFT('Input AC Report '!I2,2)</f>
        <v>DE</v>
      </c>
      <c r="I2" s="4" t="str">
        <f>'Input AC Report '!AS2</f>
        <v>MX</v>
      </c>
      <c r="J2" s="4" t="str">
        <f>'Input AC Report '!AR2</f>
        <v>MX</v>
      </c>
      <c r="K2" s="4">
        <f>'Input AC Report '!O2</f>
        <v>85371098990</v>
      </c>
      <c r="L2" s="4" t="str">
        <f>'Input AC Report '!N2</f>
        <v>STEUERGERÄT für Autoscheinwerfer</v>
      </c>
      <c r="M2" s="34">
        <f>'Input AC Report '!AB2</f>
        <v>87121.92</v>
      </c>
      <c r="N2" s="4" t="str">
        <f>'Input AC Report '!W2</f>
        <v>84B9655A-FD8D-40F18489-FA85119561CF</v>
      </c>
      <c r="O2" s="4" t="str">
        <f>'Input AC Report '!AD2</f>
        <v>USD</v>
      </c>
      <c r="P2" s="34">
        <f>'Input AC Report '!AE2</f>
        <v>1.0897</v>
      </c>
      <c r="Q2" s="34">
        <f>'Input AC Report '!AH2</f>
        <v>79913.23</v>
      </c>
      <c r="R2" s="34" t="str">
        <f>'Input AC Report '!AG2</f>
        <v>USD</v>
      </c>
      <c r="S2" s="34">
        <f>'Input AC Report '!AP2</f>
        <v>1678.18</v>
      </c>
      <c r="T2" s="34">
        <f>'Input AC Report '!AJ2</f>
        <v>2.1</v>
      </c>
      <c r="U2" s="34">
        <f>'Input AC Report '!AN2</f>
        <v>81752.47</v>
      </c>
      <c r="V2" s="34">
        <f>'Input AC Report '!AO2</f>
        <v>15532.97</v>
      </c>
      <c r="W2" s="4">
        <v>19</v>
      </c>
      <c r="AA2" s="4" t="str">
        <f>'Input AC Report '!CI2</f>
        <v>SIIX EMS MEXICO S. DE R.L. DE C.V.,San Luis Potosí</v>
      </c>
      <c r="AB2" s="4" t="str">
        <f>'Input AC Report '!GX2</f>
        <v>DE2329875-0024,DSV Air &amp; Sea Germany GmbH - Westerkappeln</v>
      </c>
      <c r="AC2" s="4" t="str">
        <f>_xlfn.IFNA(VLOOKUP('Input AC Report '!CU2,Validation!G:J,2,FALSE),"")</f>
        <v>Air</v>
      </c>
      <c r="AD2" s="4" t="str">
        <f>'Input AC Report '!X2</f>
        <v>DAP</v>
      </c>
      <c r="AE2" s="4">
        <f>'Input AC Report '!V2</f>
        <v>2</v>
      </c>
      <c r="AF2" s="4" t="str">
        <f>'Input AC Report '!U2</f>
        <v>PK</v>
      </c>
      <c r="AG2" s="34">
        <f>'Input AC Report '!S2</f>
        <v>385</v>
      </c>
      <c r="AH2" s="34">
        <f>'Input AC Report '!T2</f>
        <v>405</v>
      </c>
      <c r="AI2" s="4" t="str">
        <f>_xlfn.IFNA(VLOOKUP('Input AC Report '!J2,Validation!J:K,2,FALSE),"")</f>
        <v>permanent import</v>
      </c>
      <c r="AJ2" s="4" t="str">
        <f>MID('Input AC Report '!GX2,45,30)</f>
        <v>Westerkappeln</v>
      </c>
      <c r="AK2" s="4" t="str">
        <f>MID('Input AC Report '!GP2,12,35)</f>
        <v>000,HELLA GMBH &amp; CO. KGAAUST</v>
      </c>
      <c r="AM2" s="4" t="str">
        <f>'Input AC Report '!A2</f>
        <v>SQRO0045723</v>
      </c>
      <c r="AN2" s="4" t="str">
        <f>'Input AC Report '!A2</f>
        <v>SQRO0045723</v>
      </c>
    </row>
    <row r="3" s="4" customFormat="1" spans="1:40">
      <c r="A3" s="4" t="str">
        <f>'Input AC Report '!BL3</f>
        <v>ATC400001020420253306/00001</v>
      </c>
      <c r="B3" s="4">
        <f>'Input AC Report '!G3</f>
        <v>1</v>
      </c>
      <c r="C3" s="4" t="str">
        <f>'Input AC Report '!GO3</f>
        <v>DE4529340,HELLA Innenleuchten-Systeme GmbH</v>
      </c>
      <c r="D3" s="4" t="str">
        <f t="shared" ref="D3:D54" si="0">LEFT(C3,9)</f>
        <v>DE4529340</v>
      </c>
      <c r="E3" s="32" t="str">
        <f>_xlfn.IFNA(VLOOKUP('Input AC Report '!DU3,Validation!A:B,2,FALSE),"")</f>
        <v/>
      </c>
      <c r="F3" s="32" t="str">
        <f>_xlfn.IFNA(VLOOKUP('Input AC Report '!EQ3,Validation!A:B,2,FALSE),"")</f>
        <v/>
      </c>
      <c r="G3" s="33" t="s">
        <v>44</v>
      </c>
      <c r="H3" s="4" t="str">
        <f>LEFT('Input AC Report '!I3,2)</f>
        <v>DE</v>
      </c>
      <c r="I3" s="4" t="str">
        <f>'Input AC Report '!AS3</f>
        <v>CN</v>
      </c>
      <c r="J3" s="4" t="str">
        <f>'Input AC Report '!AR3</f>
        <v>HK</v>
      </c>
      <c r="K3" s="4">
        <f>'Input AC Report '!O3</f>
        <v>85340011000</v>
      </c>
      <c r="L3" s="4" t="str">
        <f>'Input AC Report '!N3</f>
        <v>Gedruckte Schaltungen,hier: Mehrlagenschaltungen / Leiterplatten</v>
      </c>
      <c r="M3" s="34">
        <f>'Input AC Report '!AB3</f>
        <v>3773.39</v>
      </c>
      <c r="N3" s="4" t="str">
        <f>'Input AC Report '!W3</f>
        <v>NL25040106</v>
      </c>
      <c r="O3" s="4" t="str">
        <f>'Input AC Report '!AD3</f>
        <v>EUR</v>
      </c>
      <c r="P3" s="34">
        <f>'Input AC Report '!AE3</f>
        <v>1</v>
      </c>
      <c r="Q3" s="34">
        <f>'Input AC Report '!AH3</f>
        <v>1943.39</v>
      </c>
      <c r="R3" s="34" t="str">
        <f>'Input AC Report '!AG3</f>
        <v>EUR</v>
      </c>
      <c r="S3" s="34">
        <f>'Input AC Report '!AP3</f>
        <v>0</v>
      </c>
      <c r="T3" s="34">
        <f>'Input AC Report '!AJ3</f>
        <v>0</v>
      </c>
      <c r="U3" s="34">
        <f>'Input AC Report '!AN3</f>
        <v>3773.39</v>
      </c>
      <c r="V3" s="34">
        <f>'Input AC Report '!AO3</f>
        <v>716.94</v>
      </c>
      <c r="W3" s="4">
        <v>19</v>
      </c>
      <c r="AA3" s="4" t="str">
        <f>'Input AC Report '!CI3</f>
        <v>Rayben Technologies (HK) Limited,Shatin, Hong Kong</v>
      </c>
      <c r="AB3" s="4" t="str">
        <f>'Input AC Report '!GX3</f>
        <v>DE2329875-0024,DSV Air &amp; Sea Germany GmbH - Westerkappeln</v>
      </c>
      <c r="AC3" s="4" t="str">
        <f>_xlfn.IFNA(VLOOKUP('Input AC Report '!CU3,Validation!G:J,2,FALSE),"")</f>
        <v>Air</v>
      </c>
      <c r="AD3" s="4" t="str">
        <f>'Input AC Report '!X3</f>
        <v>DAP</v>
      </c>
      <c r="AE3" s="4">
        <f>'Input AC Report '!V3</f>
        <v>8</v>
      </c>
      <c r="AF3" s="4" t="str">
        <f>'Input AC Report '!U3</f>
        <v>PK</v>
      </c>
      <c r="AG3" s="34">
        <f>'Input AC Report '!S3</f>
        <v>118.2</v>
      </c>
      <c r="AH3" s="34">
        <f>'Input AC Report '!T3</f>
        <v>126.2</v>
      </c>
      <c r="AI3" s="4" t="str">
        <f>_xlfn.IFNA(VLOOKUP('Input AC Report '!J3,Validation!J:K,2,FALSE),"")</f>
        <v>permanent import</v>
      </c>
      <c r="AJ3" s="4" t="str">
        <f>MID('Input AC Report '!GX3,45,30)</f>
        <v>Westerkappeln</v>
      </c>
      <c r="AK3" s="4" t="str">
        <f>MID('Input AC Report '!GP3,12,35)</f>
        <v>HELLA Innenleuchten-Systeme GmbH</v>
      </c>
      <c r="AM3" s="4" t="str">
        <f>'Input AC Report '!A3</f>
        <v>SZSN7076556</v>
      </c>
      <c r="AN3" s="4" t="str">
        <f>'Input AC Report '!A3</f>
        <v>SZSN7076556</v>
      </c>
    </row>
    <row r="4" s="4" customFormat="1" spans="1:40">
      <c r="A4" s="4" t="str">
        <f>'Input AC Report '!BL4</f>
        <v>ATC400215310420253302/00001</v>
      </c>
      <c r="B4" s="4">
        <f>'Input AC Report '!G4</f>
        <v>1</v>
      </c>
      <c r="C4" s="4" t="str">
        <f>'Input AC Report '!GO4</f>
        <v>DE4529340,HELLA Innenleuchten-Systeme GmbH</v>
      </c>
      <c r="D4" s="4" t="str">
        <f t="shared" si="0"/>
        <v>DE4529340</v>
      </c>
      <c r="E4" s="32" t="str">
        <f>_xlfn.IFNA(VLOOKUP('Input AC Report '!DU4,Validation!A:B,2,FALSE),"")</f>
        <v/>
      </c>
      <c r="F4" s="32" t="str">
        <f>_xlfn.IFNA(VLOOKUP('Input AC Report '!EQ4,Validation!A:B,2,FALSE),"")</f>
        <v/>
      </c>
      <c r="G4" s="33" t="str">
        <f>_xlfn.IFNA(VLOOKUP('Input AC Report '!I4,Validation!D:E,2,FALSE),"")</f>
        <v>FRA</v>
      </c>
      <c r="H4" s="4" t="str">
        <f>LEFT('Input AC Report '!I4,2)</f>
        <v>DE</v>
      </c>
      <c r="I4" s="4" t="str">
        <f>'Input AC Report '!AS4</f>
        <v>CN</v>
      </c>
      <c r="J4" s="4" t="str">
        <f>'Input AC Report '!AR4</f>
        <v>HK</v>
      </c>
      <c r="K4" s="4">
        <f>'Input AC Report '!O4</f>
        <v>85340011000</v>
      </c>
      <c r="L4" s="4" t="str">
        <f>'Input AC Report '!N4</f>
        <v>Mehrlagenschaltungen / Leiterplatten</v>
      </c>
      <c r="M4" s="34">
        <f>'Input AC Report '!AB4</f>
        <v>4322.88</v>
      </c>
      <c r="N4" s="4" t="str">
        <f>'Input AC Report '!W4</f>
        <v>HK132425040005 HK132425040006</v>
      </c>
      <c r="O4" s="4" t="str">
        <f>'Input AC Report '!AD4</f>
        <v>EUR</v>
      </c>
      <c r="P4" s="34">
        <f>'Input AC Report '!AE4</f>
        <v>1</v>
      </c>
      <c r="Q4" s="34">
        <f>'Input AC Report '!AH4</f>
        <v>6138.12</v>
      </c>
      <c r="R4" s="34" t="str">
        <f>'Input AC Report '!AG4</f>
        <v>EUR</v>
      </c>
      <c r="S4" s="34">
        <f>'Input AC Report '!AP4</f>
        <v>0</v>
      </c>
      <c r="T4" s="34">
        <f>'Input AC Report '!AJ4</f>
        <v>0</v>
      </c>
      <c r="U4" s="34">
        <f>'Input AC Report '!AN4</f>
        <v>6761.91</v>
      </c>
      <c r="V4" s="34">
        <f>'Input AC Report '!AO4</f>
        <v>1284.76</v>
      </c>
      <c r="W4" s="4">
        <v>19</v>
      </c>
      <c r="AA4" s="4" t="str">
        <f>'Input AC Report '!CI4</f>
        <v>KINWONG ELECTRONIC (HONG KONG) LIMITED,Tsuen Fanli</v>
      </c>
      <c r="AB4" s="4" t="str">
        <f>'Input AC Report '!GX4</f>
        <v>DE2329875-0024,DSV Air &amp; Sea Germany GmbH - Westerkappeln</v>
      </c>
      <c r="AC4" s="4" t="str">
        <f>_xlfn.IFNA(VLOOKUP('Input AC Report '!CU4,Validation!G:J,2,FALSE),"")</f>
        <v>Air</v>
      </c>
      <c r="AD4" s="4" t="str">
        <f>'Input AC Report '!X4</f>
        <v>EXW</v>
      </c>
      <c r="AE4" s="4">
        <f>'Input AC Report '!V4</f>
        <v>1</v>
      </c>
      <c r="AF4" s="4" t="str">
        <f>'Input AC Report '!U4</f>
        <v>PK</v>
      </c>
      <c r="AG4" s="34">
        <f>'Input AC Report '!S4</f>
        <v>165.4</v>
      </c>
      <c r="AH4" s="34">
        <f>'Input AC Report '!T4</f>
        <v>174</v>
      </c>
      <c r="AI4" s="4" t="str">
        <f>_xlfn.IFNA(VLOOKUP('Input AC Report '!J4,Validation!J:K,2,FALSE),"")</f>
        <v>permanent import</v>
      </c>
      <c r="AJ4" s="4" t="str">
        <f>MID('Input AC Report '!GX4,45,30)</f>
        <v>Westerkappeln</v>
      </c>
      <c r="AK4" s="4" t="str">
        <f>MID('Input AC Report '!GP4,12,35)</f>
        <v>HELLA Innenleuchten-Systeme GmbH</v>
      </c>
      <c r="AM4" s="4" t="str">
        <f>'Input AC Report '!A4</f>
        <v>SHKG1308921-A</v>
      </c>
      <c r="AN4" s="4" t="str">
        <f>'Input AC Report '!A4</f>
        <v>SHKG1308921-A</v>
      </c>
    </row>
    <row r="5" s="4" customFormat="1" spans="1:40">
      <c r="A5" s="4" t="str">
        <f>'Input AC Report '!BL5</f>
        <v>ATC400256830420253302/00001</v>
      </c>
      <c r="B5" s="4">
        <f>'Input AC Report '!G5</f>
        <v>1</v>
      </c>
      <c r="C5" s="4" t="str">
        <f>'Input AC Report '!GO5</f>
        <v>DE2393166-0000,HELLA GMBH &amp; CO. KGAAUST</v>
      </c>
      <c r="D5" s="4" t="str">
        <f t="shared" si="0"/>
        <v>DE2393166</v>
      </c>
      <c r="E5" s="32" t="str">
        <f>_xlfn.IFNA(VLOOKUP('Input AC Report '!DU5,Validation!A:B,2,FALSE),"")</f>
        <v/>
      </c>
      <c r="F5" s="32" t="str">
        <f>_xlfn.IFNA(VLOOKUP('Input AC Report '!EQ5,Validation!A:B,2,FALSE),"")</f>
        <v/>
      </c>
      <c r="G5" s="33" t="str">
        <f>_xlfn.IFNA(VLOOKUP('Input AC Report '!I5,Validation!D:E,2,FALSE),"")</f>
        <v>FRA</v>
      </c>
      <c r="H5" s="4" t="str">
        <f>LEFT('Input AC Report '!I5,2)</f>
        <v>DE</v>
      </c>
      <c r="I5" s="4" t="str">
        <f>'Input AC Report '!AS5</f>
        <v>MX</v>
      </c>
      <c r="J5" s="4" t="str">
        <f>'Input AC Report '!AR5</f>
        <v>MX</v>
      </c>
      <c r="K5" s="4">
        <f>'Input AC Report '!O5</f>
        <v>85371098990</v>
      </c>
      <c r="L5" s="4" t="str">
        <f>'Input AC Report '!N5</f>
        <v>STEUERGERÄT für Autoscheinwerfer</v>
      </c>
      <c r="M5" s="34">
        <f>'Input AC Report '!AB5</f>
        <v>130682.88</v>
      </c>
      <c r="N5" s="4" t="str">
        <f>'Input AC Report '!W5</f>
        <v>41084651-A125-460392E4-A3803D2D4423</v>
      </c>
      <c r="O5" s="4" t="str">
        <f>'Input AC Report '!AD5</f>
        <v>USD</v>
      </c>
      <c r="P5" s="34">
        <f>'Input AC Report '!AE5</f>
        <v>1.0897</v>
      </c>
      <c r="Q5" s="34">
        <f>'Input AC Report '!AH5</f>
        <v>119905.59</v>
      </c>
      <c r="R5" s="34" t="str">
        <f>'Input AC Report '!AG5</f>
        <v>USD</v>
      </c>
      <c r="S5" s="34">
        <f>'Input AC Report '!AP5</f>
        <v>2518.02</v>
      </c>
      <c r="T5" s="34">
        <f>'Input AC Report '!AJ5</f>
        <v>2.1</v>
      </c>
      <c r="U5" s="34">
        <f>'Input AC Report '!AN5</f>
        <v>122629.47</v>
      </c>
      <c r="V5" s="34">
        <f>'Input AC Report '!AO5</f>
        <v>23299.6</v>
      </c>
      <c r="W5" s="4">
        <v>19</v>
      </c>
      <c r="AA5" s="4" t="str">
        <f>'Input AC Report '!CI5</f>
        <v>SIIX EMS MEXICO S. DE R.L. DE C.V.,San Luis Potosí</v>
      </c>
      <c r="AB5" s="4" t="str">
        <f>'Input AC Report '!GX5</f>
        <v>DE2329875-0024,DSV Air &amp; Sea Germany GmbH - Westerkappeln</v>
      </c>
      <c r="AC5" s="4" t="str">
        <f>_xlfn.IFNA(VLOOKUP('Input AC Report '!CU5,Validation!G:J,2,FALSE),"")</f>
        <v>Air</v>
      </c>
      <c r="AD5" s="4" t="str">
        <f>'Input AC Report '!X5</f>
        <v>DAP</v>
      </c>
      <c r="AE5" s="4">
        <f>'Input AC Report '!V5</f>
        <v>3</v>
      </c>
      <c r="AF5" s="4" t="str">
        <f>'Input AC Report '!U5</f>
        <v>PK</v>
      </c>
      <c r="AG5" s="34">
        <f>'Input AC Report '!S5</f>
        <v>560</v>
      </c>
      <c r="AH5" s="34">
        <f>'Input AC Report '!T5</f>
        <v>590.3</v>
      </c>
      <c r="AI5" s="4" t="str">
        <f>_xlfn.IFNA(VLOOKUP('Input AC Report '!J5,Validation!J:K,2,FALSE),"")</f>
        <v>permanent import</v>
      </c>
      <c r="AJ5" s="4" t="str">
        <f>MID('Input AC Report '!GX5,45,30)</f>
        <v>Westerkappeln</v>
      </c>
      <c r="AK5" s="4" t="str">
        <f>MID('Input AC Report '!GP5,12,35)</f>
        <v>000,HELLA GMBH &amp; CO. KGAAUST</v>
      </c>
      <c r="AM5" s="4" t="str">
        <f>'Input AC Report '!A5</f>
        <v>SQRO0045994</v>
      </c>
      <c r="AN5" s="4" t="str">
        <f>'Input AC Report '!A5</f>
        <v>SQRO0045994</v>
      </c>
    </row>
    <row r="6" s="4" customFormat="1" spans="1:40">
      <c r="A6" s="4" t="str">
        <f>'Input AC Report '!BL6</f>
        <v>ATC400258470420253302/00001</v>
      </c>
      <c r="B6" s="4">
        <f>'Input AC Report '!G6</f>
        <v>1</v>
      </c>
      <c r="C6" s="4" t="str">
        <f>'Input AC Report '!GO6</f>
        <v>DE4529340,HELLA Innenleuchten-Systeme GmbH</v>
      </c>
      <c r="D6" s="4" t="str">
        <f t="shared" si="0"/>
        <v>DE4529340</v>
      </c>
      <c r="E6" s="32" t="str">
        <f>_xlfn.IFNA(VLOOKUP('Input AC Report '!DU6,Validation!A:B,2,FALSE),"")</f>
        <v/>
      </c>
      <c r="F6" s="32" t="str">
        <f>_xlfn.IFNA(VLOOKUP('Input AC Report '!EQ6,Validation!A:B,2,FALSE),"")</f>
        <v/>
      </c>
      <c r="G6" s="33" t="str">
        <f>_xlfn.IFNA(VLOOKUP('Input AC Report '!I6,Validation!D:E,2,FALSE),"")</f>
        <v>FRA</v>
      </c>
      <c r="H6" s="4" t="str">
        <f>LEFT('Input AC Report '!I6,2)</f>
        <v>DE</v>
      </c>
      <c r="I6" s="4" t="str">
        <f>'Input AC Report '!AS6</f>
        <v>CN</v>
      </c>
      <c r="J6" s="4" t="str">
        <f>'Input AC Report '!AR6</f>
        <v>HK</v>
      </c>
      <c r="K6" s="4">
        <f>'Input AC Report '!O6</f>
        <v>85340011000</v>
      </c>
      <c r="L6" s="4" t="str">
        <f>'Input AC Report '!N6</f>
        <v>Gedruckte Schaltungen,hier: Mehrlagenschaltungen / Leiterplatten</v>
      </c>
      <c r="M6" s="34">
        <f>'Input AC Report '!AB6</f>
        <v>14361.14</v>
      </c>
      <c r="N6" s="4" t="str">
        <f>'Input AC Report '!W6</f>
        <v>NL25040232 NL25040233 NL25040234</v>
      </c>
      <c r="O6" s="4" t="str">
        <f>'Input AC Report '!AD6</f>
        <v>EUR</v>
      </c>
      <c r="P6" s="34">
        <f>'Input AC Report '!AE6</f>
        <v>1</v>
      </c>
      <c r="Q6" s="34">
        <f>'Input AC Report '!AH6</f>
        <v>14057.37</v>
      </c>
      <c r="R6" s="34" t="str">
        <f>'Input AC Report '!AG6</f>
        <v>EUR</v>
      </c>
      <c r="S6" s="34">
        <f>'Input AC Report '!AP6</f>
        <v>0</v>
      </c>
      <c r="T6" s="34">
        <f>'Input AC Report '!AJ6</f>
        <v>0</v>
      </c>
      <c r="U6" s="34">
        <f>'Input AC Report '!AN6</f>
        <v>14775.52</v>
      </c>
      <c r="V6" s="34">
        <f>'Input AC Report '!AO6</f>
        <v>2807.35</v>
      </c>
      <c r="W6" s="4">
        <v>19</v>
      </c>
      <c r="AA6" s="4" t="str">
        <f>'Input AC Report '!CI6</f>
        <v>Rayben Technologies (HK) Limited,Shatin, Hong Kong</v>
      </c>
      <c r="AB6" s="4" t="str">
        <f>'Input AC Report '!GX6</f>
        <v>DE2329875-0024,DSV Air &amp; Sea Germany GmbH - Westerkappeln</v>
      </c>
      <c r="AC6" s="4" t="str">
        <f>_xlfn.IFNA(VLOOKUP('Input AC Report '!CU6,Validation!G:J,2,FALSE),"")</f>
        <v>Air</v>
      </c>
      <c r="AD6" s="4" t="str">
        <f>'Input AC Report '!X6</f>
        <v>FCA</v>
      </c>
      <c r="AE6" s="4">
        <f>'Input AC Report '!V6</f>
        <v>1</v>
      </c>
      <c r="AF6" s="4" t="str">
        <f>'Input AC Report '!U6</f>
        <v>PK</v>
      </c>
      <c r="AG6" s="34">
        <f>'Input AC Report '!S6</f>
        <v>438.5</v>
      </c>
      <c r="AH6" s="34">
        <f>'Input AC Report '!T6</f>
        <v>474</v>
      </c>
      <c r="AI6" s="4" t="str">
        <f>_xlfn.IFNA(VLOOKUP('Input AC Report '!J6,Validation!J:K,2,FALSE),"")</f>
        <v>permanent import</v>
      </c>
      <c r="AJ6" s="4" t="str">
        <f>MID('Input AC Report '!GX6,45,30)</f>
        <v>Westerkappeln</v>
      </c>
      <c r="AK6" s="4" t="str">
        <f>MID('Input AC Report '!GP6,12,35)</f>
        <v>HELLA Innenleuchten-Systeme GmbH</v>
      </c>
      <c r="AM6" s="4" t="str">
        <f>'Input AC Report '!A6</f>
        <v>SZSN7076620</v>
      </c>
      <c r="AN6" s="4" t="str">
        <f>'Input AC Report '!A6</f>
        <v>SZSN7076620</v>
      </c>
    </row>
    <row r="7" s="4" customFormat="1" spans="1:40">
      <c r="A7" s="4" t="str">
        <f>'Input AC Report '!BL7</f>
        <v>ATC400392280420253302/00001</v>
      </c>
      <c r="B7" s="4">
        <f>'Input AC Report '!G7</f>
        <v>1</v>
      </c>
      <c r="C7" s="4" t="str">
        <f>'Input AC Report '!GO7</f>
        <v>DE2393166-0000,HELLA GMBH &amp; CO. KGAAUST</v>
      </c>
      <c r="D7" s="4" t="str">
        <f t="shared" si="0"/>
        <v>DE2393166</v>
      </c>
      <c r="E7" s="32" t="str">
        <f>_xlfn.IFNA(VLOOKUP('Input AC Report '!DU7,Validation!A:B,2,FALSE),"")</f>
        <v/>
      </c>
      <c r="F7" s="32" t="str">
        <f>_xlfn.IFNA(VLOOKUP('Input AC Report '!EQ7,Validation!A:B,2,FALSE),"")</f>
        <v/>
      </c>
      <c r="G7" s="33" t="s">
        <v>44</v>
      </c>
      <c r="H7" s="4" t="str">
        <f>LEFT('Input AC Report '!I7,2)</f>
        <v>DE</v>
      </c>
      <c r="I7" s="4" t="str">
        <f>'Input AC Report '!AS7</f>
        <v>CN</v>
      </c>
      <c r="J7" s="4" t="str">
        <f>'Input AC Report '!AR7</f>
        <v>HK</v>
      </c>
      <c r="K7" s="4">
        <f>'Input AC Report '!O7</f>
        <v>85340011000</v>
      </c>
      <c r="L7" s="4" t="str">
        <f>'Input AC Report '!N7</f>
        <v>Gedruckte Schaltungen - nur mit Leiterbahnen oder Kontakten,hier: Mehrlagenschaltungen</v>
      </c>
      <c r="M7" s="34">
        <f>'Input AC Report '!AB7</f>
        <v>1806.94</v>
      </c>
      <c r="N7" s="4" t="str">
        <f>'Input AC Report '!W7</f>
        <v>TC58596-3D04I</v>
      </c>
      <c r="O7" s="4" t="str">
        <f>'Input AC Report '!AD7</f>
        <v>EUR</v>
      </c>
      <c r="P7" s="34">
        <f>'Input AC Report '!AE7</f>
        <v>1</v>
      </c>
      <c r="Q7" s="34">
        <f>'Input AC Report '!AH7</f>
        <v>1986</v>
      </c>
      <c r="R7" s="34" t="str">
        <f>'Input AC Report '!AG7</f>
        <v>EUR</v>
      </c>
      <c r="S7" s="34">
        <f>'Input AC Report '!AP7</f>
        <v>0</v>
      </c>
      <c r="T7" s="34">
        <f>'Input AC Report '!AJ7</f>
        <v>0</v>
      </c>
      <c r="U7" s="34">
        <f>'Input AC Report '!AN7</f>
        <v>2061.54</v>
      </c>
      <c r="V7" s="34">
        <f>'Input AC Report '!AO7</f>
        <v>391.69</v>
      </c>
      <c r="W7" s="4">
        <v>19</v>
      </c>
      <c r="AA7" s="4" t="str">
        <f>'Input AC Report '!CI7</f>
        <v>TECHWISE(MACAO)CIRCUITS Ltd.,Macau,00000,Da praia</v>
      </c>
      <c r="AB7" s="4" t="str">
        <f>'Input AC Report '!GX7</f>
        <v>DE2329875-0024,DSV Air &amp; Sea Germany GmbH - Westerkappeln</v>
      </c>
      <c r="AC7" s="4" t="str">
        <f>_xlfn.IFNA(VLOOKUP('Input AC Report '!CU7,Validation!G:J,2,FALSE),"")</f>
        <v>Air</v>
      </c>
      <c r="AD7" s="4" t="str">
        <f>'Input AC Report '!X7</f>
        <v>FOB</v>
      </c>
      <c r="AE7" s="4">
        <f>'Input AC Report '!V7</f>
        <v>5</v>
      </c>
      <c r="AF7" s="4" t="str">
        <f>'Input AC Report '!U7</f>
        <v>PK</v>
      </c>
      <c r="AG7" s="34">
        <f>'Input AC Report '!S7</f>
        <v>40</v>
      </c>
      <c r="AH7" s="34">
        <f>'Input AC Report '!T7</f>
        <v>43</v>
      </c>
      <c r="AI7" s="4" t="str">
        <f>_xlfn.IFNA(VLOOKUP('Input AC Report '!J7,Validation!J:K,2,FALSE),"")</f>
        <v>permanent import</v>
      </c>
      <c r="AJ7" s="4" t="str">
        <f>MID('Input AC Report '!GX7,45,30)</f>
        <v>Westerkappeln</v>
      </c>
      <c r="AK7" s="4" t="str">
        <f>MID('Input AC Report '!GP7,12,35)</f>
        <v>000,HELLA GMBH &amp; CO. KGAAUST</v>
      </c>
      <c r="AM7" s="4" t="str">
        <f>'Input AC Report '!A7</f>
        <v>SHKG1311544</v>
      </c>
      <c r="AN7" s="4" t="str">
        <f>'Input AC Report '!A7</f>
        <v>SHKG1311544</v>
      </c>
    </row>
    <row r="8" s="4" customFormat="1" spans="1:40">
      <c r="A8" s="4" t="str">
        <f>'Input AC Report '!BL8</f>
        <v>ATC400405280420253302/00001</v>
      </c>
      <c r="B8" s="4">
        <f>'Input AC Report '!G8</f>
        <v>1</v>
      </c>
      <c r="C8" s="4" t="str">
        <f>'Input AC Report '!GO8</f>
        <v>DE2393166-0000,HELLA GMBH &amp; CO. KGAAUST</v>
      </c>
      <c r="D8" s="4" t="str">
        <f t="shared" si="0"/>
        <v>DE2393166</v>
      </c>
      <c r="E8" s="32" t="str">
        <f>_xlfn.IFNA(VLOOKUP('Input AC Report '!DU8,Validation!A:B,2,FALSE),"")</f>
        <v/>
      </c>
      <c r="F8" s="32" t="str">
        <f>_xlfn.IFNA(VLOOKUP('Input AC Report '!EQ8,Validation!A:B,2,FALSE),"")</f>
        <v/>
      </c>
      <c r="G8" s="33" t="str">
        <f>_xlfn.IFNA(VLOOKUP('Input AC Report '!I8,Validation!D:E,2,FALSE),"")</f>
        <v>FRA</v>
      </c>
      <c r="H8" s="4" t="str">
        <f>LEFT('Input AC Report '!I8,2)</f>
        <v>DE</v>
      </c>
      <c r="I8" s="4" t="str">
        <f>'Input AC Report '!AS8</f>
        <v>CN</v>
      </c>
      <c r="J8" s="4" t="str">
        <f>'Input AC Report '!AR8</f>
        <v>CN</v>
      </c>
      <c r="K8" s="4">
        <f>'Input AC Report '!O8</f>
        <v>85340011000</v>
      </c>
      <c r="L8" s="4" t="str">
        <f>'Input AC Report '!N8</f>
        <v>Gedruckte Schaltungen - nur mit Leiterbahnen oder Kontakten,hier: Mehrlagenschaltungen</v>
      </c>
      <c r="M8" s="34">
        <f>'Input AC Report '!AB8</f>
        <v>9612.84</v>
      </c>
      <c r="N8" s="4" t="str">
        <f>'Input AC Report '!W8</f>
        <v>KW12102504170001</v>
      </c>
      <c r="O8" s="4" t="str">
        <f>'Input AC Report '!AD8</f>
        <v>EUR</v>
      </c>
      <c r="P8" s="34">
        <f>'Input AC Report '!AE8</f>
        <v>1</v>
      </c>
      <c r="Q8" s="34">
        <f>'Input AC Report '!AH8</f>
        <v>10821.43</v>
      </c>
      <c r="R8" s="34" t="str">
        <f>'Input AC Report '!AG8</f>
        <v>EUR</v>
      </c>
      <c r="S8" s="34">
        <f>'Input AC Report '!AP8</f>
        <v>0</v>
      </c>
      <c r="T8" s="34">
        <f>'Input AC Report '!AJ8</f>
        <v>0</v>
      </c>
      <c r="U8" s="34">
        <f>'Input AC Report '!AN8</f>
        <v>11164.29</v>
      </c>
      <c r="V8" s="34">
        <f>'Input AC Report '!AO8</f>
        <v>2121.22</v>
      </c>
      <c r="W8" s="4">
        <v>19</v>
      </c>
      <c r="AA8" s="4" t="str">
        <f>'Input AC Report '!CI8</f>
        <v>KINWONG ELECTRONIC(HONGKONG) LIMITED,HONG KONG,000</v>
      </c>
      <c r="AB8" s="4" t="str">
        <f>'Input AC Report '!GX8</f>
        <v>DE2329875-0024,DSV Air &amp; Sea Germany GmbH - Westerkappeln</v>
      </c>
      <c r="AC8" s="4" t="str">
        <f>_xlfn.IFNA(VLOOKUP('Input AC Report '!CU8,Validation!G:J,2,FALSE),"")</f>
        <v>Air</v>
      </c>
      <c r="AD8" s="4" t="str">
        <f>'Input AC Report '!X8</f>
        <v>EXW</v>
      </c>
      <c r="AE8" s="4">
        <f>'Input AC Report '!V8</f>
        <v>1</v>
      </c>
      <c r="AF8" s="4" t="str">
        <f>'Input AC Report '!U8</f>
        <v>PK</v>
      </c>
      <c r="AG8" s="34">
        <f>'Input AC Report '!S8</f>
        <v>213.2</v>
      </c>
      <c r="AH8" s="34">
        <f>'Input AC Report '!T8</f>
        <v>250</v>
      </c>
      <c r="AI8" s="4" t="str">
        <f>_xlfn.IFNA(VLOOKUP('Input AC Report '!J8,Validation!J:K,2,FALSE),"")</f>
        <v>permanent import</v>
      </c>
      <c r="AJ8" s="4" t="str">
        <f>MID('Input AC Report '!GX8,45,30)</f>
        <v>Westerkappeln</v>
      </c>
      <c r="AK8" s="4" t="str">
        <f>MID('Input AC Report '!GP8,12,35)</f>
        <v>000,HELLA GMBH &amp; CO. KGAAUST</v>
      </c>
      <c r="AM8" s="4" t="str">
        <f>'Input AC Report '!A8</f>
        <v>SSZX71000388</v>
      </c>
      <c r="AN8" s="4" t="str">
        <f>'Input AC Report '!A8</f>
        <v>SSZX71000388</v>
      </c>
    </row>
    <row r="9" s="4" customFormat="1" spans="1:40">
      <c r="A9" s="4" t="str">
        <f>'Input AC Report '!BL9</f>
        <v>ATC400415190420253302/00001</v>
      </c>
      <c r="B9" s="4">
        <f>'Input AC Report '!G9</f>
        <v>1</v>
      </c>
      <c r="C9" s="4" t="str">
        <f>'Input AC Report '!GO9</f>
        <v>DE2393166-0000,HELLA GMBH &amp; CO. KGAAUST</v>
      </c>
      <c r="D9" s="4" t="str">
        <f t="shared" si="0"/>
        <v>DE2393166</v>
      </c>
      <c r="E9" s="32" t="str">
        <f>_xlfn.IFNA(VLOOKUP('Input AC Report '!DU9,Validation!A:B,2,FALSE),"")</f>
        <v/>
      </c>
      <c r="F9" s="32" t="str">
        <f>_xlfn.IFNA(VLOOKUP('Input AC Report '!EQ9,Validation!A:B,2,FALSE),"")</f>
        <v/>
      </c>
      <c r="G9" s="33" t="str">
        <f>_xlfn.IFNA(VLOOKUP('Input AC Report '!I9,Validation!D:E,2,FALSE),"")</f>
        <v>FRA</v>
      </c>
      <c r="H9" s="4" t="str">
        <f>LEFT('Input AC Report '!I9,2)</f>
        <v>DE</v>
      </c>
      <c r="I9" s="4" t="str">
        <f>'Input AC Report '!AS9</f>
        <v>TH</v>
      </c>
      <c r="J9" s="4" t="str">
        <f>'Input AC Report '!AR9</f>
        <v>TH</v>
      </c>
      <c r="K9" s="4">
        <f>'Input AC Report '!O9</f>
        <v>84145925900</v>
      </c>
      <c r="L9" s="4" t="str">
        <f>'Input AC Report '!N9</f>
        <v>Axialventilator</v>
      </c>
      <c r="M9" s="34">
        <f>'Input AC Report '!AB9</f>
        <v>28684.8</v>
      </c>
      <c r="N9" s="4">
        <f>'Input AC Report '!W9</f>
        <v>9404416357</v>
      </c>
      <c r="O9" s="4" t="str">
        <f>'Input AC Report '!AD9</f>
        <v>USD</v>
      </c>
      <c r="P9" s="34">
        <f>'Input AC Report '!AE9</f>
        <v>1.0897</v>
      </c>
      <c r="Q9" s="34">
        <f>'Input AC Report '!AH9</f>
        <v>27891.59</v>
      </c>
      <c r="R9" s="34" t="str">
        <f>'Input AC Report '!AG9</f>
        <v>EUR</v>
      </c>
      <c r="S9" s="34">
        <f>'Input AC Report '!AP9</f>
        <v>641.51</v>
      </c>
      <c r="T9" s="34">
        <f>'Input AC Report '!AJ9</f>
        <v>2.3</v>
      </c>
      <c r="U9" s="34">
        <f>'Input AC Report '!AN9</f>
        <v>29129.33</v>
      </c>
      <c r="V9" s="34">
        <f>'Input AC Report '!AO9</f>
        <v>5534.57</v>
      </c>
      <c r="W9" s="4">
        <v>19</v>
      </c>
      <c r="AA9" s="4" t="str">
        <f>'Input AC Report '!CI9</f>
        <v>DELTA ELECTRONICS(THAILAND)PUBLIC COMPANY LIMITED,</v>
      </c>
      <c r="AB9" s="4" t="str">
        <f>'Input AC Report '!GX9</f>
        <v>DE2329875-0024,DSV Air &amp; Sea Germany GmbH - Westerkappeln</v>
      </c>
      <c r="AC9" s="4" t="str">
        <f>_xlfn.IFNA(VLOOKUP('Input AC Report '!CU9,Validation!G:J,2,FALSE),"")</f>
        <v>Air</v>
      </c>
      <c r="AD9" s="4" t="str">
        <f>'Input AC Report '!X9</f>
        <v>FCA</v>
      </c>
      <c r="AE9" s="4">
        <f>'Input AC Report '!V9</f>
        <v>1</v>
      </c>
      <c r="AF9" s="4" t="str">
        <f>'Input AC Report '!U9</f>
        <v>PK</v>
      </c>
      <c r="AG9" s="34">
        <f>'Input AC Report '!S9</f>
        <v>241.9</v>
      </c>
      <c r="AH9" s="34">
        <f>'Input AC Report '!T9</f>
        <v>338</v>
      </c>
      <c r="AI9" s="4" t="str">
        <f>_xlfn.IFNA(VLOOKUP('Input AC Report '!J9,Validation!J:K,2,FALSE),"")</f>
        <v>permanent import</v>
      </c>
      <c r="AJ9" s="4" t="str">
        <f>MID('Input AC Report '!GX9,45,30)</f>
        <v>Westerkappeln</v>
      </c>
      <c r="AK9" s="4" t="str">
        <f>MID('Input AC Report '!GP9,12,35)</f>
        <v>000,HELLA GMBH &amp; CO. KGAAUST</v>
      </c>
      <c r="AM9" s="4" t="str">
        <f>'Input AC Report '!A9</f>
        <v>SSPK0264878</v>
      </c>
      <c r="AN9" s="4" t="str">
        <f>'Input AC Report '!A9</f>
        <v>SSPK0264878</v>
      </c>
    </row>
    <row r="10" s="4" customFormat="1" spans="1:40">
      <c r="A10" s="4" t="str">
        <f>'Input AC Report '!BL10</f>
        <v>ATC400055070520253302/00001</v>
      </c>
      <c r="B10" s="4">
        <f>'Input AC Report '!G10</f>
        <v>1</v>
      </c>
      <c r="C10" s="4" t="str">
        <f>'Input AC Report '!GO10</f>
        <v>DE2393166-0000,HELLA GMBH &amp; CO. KGAAUST</v>
      </c>
      <c r="D10" s="4" t="str">
        <f t="shared" si="0"/>
        <v>DE2393166</v>
      </c>
      <c r="E10" s="32" t="str">
        <f>_xlfn.IFNA(VLOOKUP('Input AC Report '!DU10,Validation!A:B,2,FALSE),"")</f>
        <v/>
      </c>
      <c r="F10" s="32" t="str">
        <f>_xlfn.IFNA(VLOOKUP('Input AC Report '!EQ10,Validation!A:B,2,FALSE),"")</f>
        <v/>
      </c>
      <c r="G10" s="33" t="str">
        <f>_xlfn.IFNA(VLOOKUP('Input AC Report '!I10,Validation!D:E,2,FALSE),"")</f>
        <v>FRA</v>
      </c>
      <c r="H10" s="4" t="str">
        <f>LEFT('Input AC Report '!I10,2)</f>
        <v>DE</v>
      </c>
      <c r="I10" s="4" t="str">
        <f>'Input AC Report '!AS10</f>
        <v>VN</v>
      </c>
      <c r="J10" s="4" t="str">
        <f>'Input AC Report '!AR10</f>
        <v>VN</v>
      </c>
      <c r="K10" s="4">
        <f>'Input AC Report '!O10</f>
        <v>85371098990</v>
      </c>
      <c r="L10" s="4" t="str">
        <f>'Input AC Report '!N10</f>
        <v>Elektronisches Steuergerät für Kfz-Scheinwerfer</v>
      </c>
      <c r="M10" s="34">
        <f>'Input AC Report '!AB10</f>
        <v>100543.68</v>
      </c>
      <c r="N10" s="4" t="str">
        <f>'Input AC Report '!W10</f>
        <v>UHAN_INV05870</v>
      </c>
      <c r="O10" s="4" t="str">
        <f>'Input AC Report '!AD10</f>
        <v>USD</v>
      </c>
      <c r="P10" s="34">
        <f>'Input AC Report '!AE10</f>
        <v>1.1415</v>
      </c>
      <c r="Q10" s="34">
        <f>'Input AC Report '!AH10</f>
        <v>91037.69</v>
      </c>
      <c r="R10" s="34" t="str">
        <f>'Input AC Report '!AG10</f>
        <v>USD</v>
      </c>
      <c r="S10" s="34">
        <f>'Input AC Report '!AP10</f>
        <v>1911.79</v>
      </c>
      <c r="T10" s="34">
        <f>'Input AC Report '!AJ10</f>
        <v>2.1</v>
      </c>
      <c r="U10" s="34">
        <f>'Input AC Report '!AN10</f>
        <v>94158.42</v>
      </c>
      <c r="V10" s="34">
        <f>'Input AC Report '!AO10</f>
        <v>17890.1</v>
      </c>
      <c r="W10" s="4">
        <v>19</v>
      </c>
      <c r="AA10" s="4" t="str">
        <f>'Input AC Report '!CI10</f>
        <v>UNIGEN CORPORATION,Newark,CA,94560,39730 Eureka Dr</v>
      </c>
      <c r="AB10" s="4" t="str">
        <f>'Input AC Report '!GX10</f>
        <v>DE2329875-0024,DSV Air &amp; Sea Germany GmbH - Westerkappeln</v>
      </c>
      <c r="AC10" s="4" t="str">
        <f>_xlfn.IFNA(VLOOKUP('Input AC Report '!CU10,Validation!G:J,2,FALSE),"")</f>
        <v>Air</v>
      </c>
      <c r="AD10" s="4" t="str">
        <f>'Input AC Report '!X10</f>
        <v>FCA</v>
      </c>
      <c r="AE10" s="4">
        <f>'Input AC Report '!V10</f>
        <v>3</v>
      </c>
      <c r="AF10" s="4" t="str">
        <f>'Input AC Report '!U10</f>
        <v>PK</v>
      </c>
      <c r="AG10" s="34">
        <f>'Input AC Report '!S10</f>
        <v>510</v>
      </c>
      <c r="AH10" s="34">
        <f>'Input AC Report '!T10</f>
        <v>535</v>
      </c>
      <c r="AI10" s="4" t="str">
        <f>_xlfn.IFNA(VLOOKUP('Input AC Report '!J10,Validation!J:K,2,FALSE),"")</f>
        <v>permanent import</v>
      </c>
      <c r="AJ10" s="4" t="str">
        <f>MID('Input AC Report '!GX10,45,30)</f>
        <v>Westerkappeln</v>
      </c>
      <c r="AK10" s="4" t="str">
        <f>MID('Input AC Report '!GP10,12,35)</f>
        <v>000,HELLA GMBH &amp; CO. KGAAUST</v>
      </c>
      <c r="AM10" s="4" t="str">
        <f>'Input AC Report '!A10</f>
        <v>SHAN0394305</v>
      </c>
      <c r="AN10" s="4" t="str">
        <f>'Input AC Report '!A10</f>
        <v>SHAN0394305</v>
      </c>
    </row>
    <row r="11" s="4" customFormat="1" spans="1:40">
      <c r="A11" s="4" t="str">
        <f>'Input AC Report '!BL11</f>
        <v>ATC400065720520253302/00001</v>
      </c>
      <c r="B11" s="4">
        <f>'Input AC Report '!G11</f>
        <v>1</v>
      </c>
      <c r="C11" s="4" t="str">
        <f>'Input AC Report '!GO11</f>
        <v>DE2393166-0000,HELLA GMBH &amp; CO. KGAAUST</v>
      </c>
      <c r="D11" s="4" t="str">
        <f t="shared" si="0"/>
        <v>DE2393166</v>
      </c>
      <c r="E11" s="32" t="str">
        <f>_xlfn.IFNA(VLOOKUP('Input AC Report '!DU11,Validation!A:B,2,FALSE),"")</f>
        <v/>
      </c>
      <c r="F11" s="32" t="str">
        <f>_xlfn.IFNA(VLOOKUP('Input AC Report '!EQ11,Validation!A:B,2,FALSE),"")</f>
        <v/>
      </c>
      <c r="G11" s="33" t="str">
        <f>_xlfn.IFNA(VLOOKUP('Input AC Report '!I11,Validation!D:E,2,FALSE),"")</f>
        <v>FRA</v>
      </c>
      <c r="H11" s="4" t="str">
        <f>LEFT('Input AC Report '!I11,2)</f>
        <v>DE</v>
      </c>
      <c r="I11" s="4" t="str">
        <f>'Input AC Report '!AS11</f>
        <v>MX</v>
      </c>
      <c r="J11" s="4" t="str">
        <f>'Input AC Report '!AR11</f>
        <v>MX</v>
      </c>
      <c r="K11" s="4">
        <f>'Input AC Report '!O11</f>
        <v>85371098990</v>
      </c>
      <c r="L11" s="4" t="str">
        <f>'Input AC Report '!N11</f>
        <v>STEUERGERÄT für Autoscheinwerfer</v>
      </c>
      <c r="M11" s="34">
        <f>'Input AC Report '!AB11</f>
        <v>4537.6</v>
      </c>
      <c r="N11" s="4" t="str">
        <f>'Input AC Report '!W11</f>
        <v>4FF9AA4C-4710-4232-8489FD25BA77EB19</v>
      </c>
      <c r="O11" s="4" t="str">
        <f>'Input AC Report '!AD11</f>
        <v>USD</v>
      </c>
      <c r="P11" s="34">
        <f>'Input AC Report '!AE11</f>
        <v>1.1415</v>
      </c>
      <c r="Q11" s="34">
        <f>'Input AC Report '!AH11</f>
        <v>3931.72</v>
      </c>
      <c r="R11" s="34" t="str">
        <f>'Input AC Report '!AG11</f>
        <v>USD</v>
      </c>
      <c r="S11" s="34">
        <f>'Input AC Report '!AP11</f>
        <v>82.57</v>
      </c>
      <c r="T11" s="34">
        <f>'Input AC Report '!AJ11</f>
        <v>2.1</v>
      </c>
      <c r="U11" s="34">
        <f>'Input AC Report '!AN11</f>
        <v>4063.85</v>
      </c>
      <c r="V11" s="34">
        <f>'Input AC Report '!AO11</f>
        <v>772.13</v>
      </c>
      <c r="W11" s="4">
        <v>19</v>
      </c>
      <c r="AA11" s="4" t="str">
        <f>'Input AC Report '!CI11</f>
        <v>SIIX EMS MEXICO S. DE R.L. DE C.V.,San Luis Potosí</v>
      </c>
      <c r="AB11" s="4" t="str">
        <f>'Input AC Report '!GX11</f>
        <v>DE2329875-0024,DSV Air &amp; Sea Germany GmbH - Westerkappeln</v>
      </c>
      <c r="AC11" s="4" t="str">
        <f>_xlfn.IFNA(VLOOKUP('Input AC Report '!CU11,Validation!G:J,2,FALSE),"")</f>
        <v>Air</v>
      </c>
      <c r="AD11" s="4" t="str">
        <f>'Input AC Report '!X11</f>
        <v>DAP</v>
      </c>
      <c r="AE11" s="4">
        <f>'Input AC Report '!V11</f>
        <v>1</v>
      </c>
      <c r="AF11" s="4" t="str">
        <f>'Input AC Report '!U11</f>
        <v>PK</v>
      </c>
      <c r="AG11" s="34">
        <f>'Input AC Report '!S11</f>
        <v>42</v>
      </c>
      <c r="AH11" s="34">
        <f>'Input AC Report '!T11</f>
        <v>46.1</v>
      </c>
      <c r="AI11" s="4" t="str">
        <f>_xlfn.IFNA(VLOOKUP('Input AC Report '!J11,Validation!J:K,2,FALSE),"")</f>
        <v>permanent import</v>
      </c>
      <c r="AJ11" s="4" t="str">
        <f>MID('Input AC Report '!GX11,45,30)</f>
        <v>Westerkappeln</v>
      </c>
      <c r="AK11" s="4" t="str">
        <f>MID('Input AC Report '!GP11,12,35)</f>
        <v>000,HELLA GMBH &amp; CO. KGAAUST</v>
      </c>
      <c r="AM11" s="4" t="str">
        <f>'Input AC Report '!A11</f>
        <v>SQRO0046448</v>
      </c>
      <c r="AN11" s="4" t="str">
        <f>'Input AC Report '!A11</f>
        <v>SQRO0046448</v>
      </c>
    </row>
    <row r="12" s="4" customFormat="1" spans="1:40">
      <c r="A12" s="4" t="str">
        <f>'Input AC Report '!BL12</f>
        <v>ATC400005670520252601/00001</v>
      </c>
      <c r="B12" s="4">
        <f>'Input AC Report '!G12</f>
        <v>1</v>
      </c>
      <c r="C12" s="4" t="str">
        <f>'Input AC Report '!GO12</f>
        <v>DE2393166-0000,HELLA GMBH &amp; CO. KGAAUST</v>
      </c>
      <c r="D12" s="4" t="str">
        <f t="shared" si="0"/>
        <v>DE2393166</v>
      </c>
      <c r="E12" s="32" t="str">
        <f>_xlfn.IFNA(VLOOKUP('Input AC Report '!DU12,Validation!A:B,2,FALSE),"")</f>
        <v/>
      </c>
      <c r="F12" s="32" t="str">
        <f>_xlfn.IFNA(VLOOKUP('Input AC Report '!EQ12,Validation!A:B,2,FALSE),"")</f>
        <v/>
      </c>
      <c r="G12" s="33" t="str">
        <f>_xlfn.IFNA(VLOOKUP('Input AC Report '!I12,Validation!D:E,2,FALSE),"")</f>
        <v>DUS</v>
      </c>
      <c r="H12" s="4" t="str">
        <f>LEFT('Input AC Report '!I12,2)</f>
        <v>DE</v>
      </c>
      <c r="I12" s="4" t="str">
        <f>'Input AC Report '!AS12</f>
        <v>US</v>
      </c>
      <c r="J12" s="4" t="str">
        <f>'Input AC Report '!AR12</f>
        <v>US</v>
      </c>
      <c r="K12" s="4">
        <f>'Input AC Report '!O12</f>
        <v>85122000900</v>
      </c>
      <c r="L12" s="4" t="str">
        <f>'Input AC Report '!N12</f>
        <v>Heckleuchte für Kraftfahrzeuge</v>
      </c>
      <c r="M12" s="34">
        <f>'Input AC Report '!AB12</f>
        <v>1583.52</v>
      </c>
      <c r="N12" s="4" t="str">
        <f>'Input AC Report '!W12</f>
        <v>US-DE-JP-04242025</v>
      </c>
      <c r="O12" s="4" t="str">
        <f>'Input AC Report '!AD12</f>
        <v>USD</v>
      </c>
      <c r="P12" s="34">
        <f>'Input AC Report '!AE12</f>
        <v>1.1415</v>
      </c>
      <c r="Q12" s="34">
        <f>'Input AC Report '!AH12</f>
        <v>1330.98</v>
      </c>
      <c r="R12" s="34" t="str">
        <f>'Input AC Report '!AG12</f>
        <v>USD</v>
      </c>
      <c r="S12" s="34">
        <f>'Input AC Report '!AP12</f>
        <v>35.94</v>
      </c>
      <c r="T12" s="34">
        <f>'Input AC Report '!AJ12</f>
        <v>2.7</v>
      </c>
      <c r="U12" s="34">
        <f>'Input AC Report '!AN12</f>
        <v>1425.32</v>
      </c>
      <c r="V12" s="34">
        <f>'Input AC Report '!AO12</f>
        <v>270.81</v>
      </c>
      <c r="W12" s="4">
        <v>19</v>
      </c>
      <c r="AA12" s="4" t="str">
        <f>'Input AC Report '!CI12</f>
        <v>Lucid USA Inc.,Newark,CA,94560,7373 Gateway Blvd.,</v>
      </c>
      <c r="AB12" s="4" t="str">
        <f>'Input AC Report '!GX12</f>
        <v>DE2329875-0024,DSV Air &amp; Sea Germany GmbH - Westerkappeln</v>
      </c>
      <c r="AC12" s="4" t="str">
        <f>_xlfn.IFNA(VLOOKUP('Input AC Report '!CU12,Validation!G:J,2,FALSE),"")</f>
        <v>Air</v>
      </c>
      <c r="AD12" s="4" t="str">
        <f>'Input AC Report '!X12</f>
        <v>DAP</v>
      </c>
      <c r="AE12" s="4">
        <f>'Input AC Report '!V12</f>
        <v>1</v>
      </c>
      <c r="AF12" s="4" t="str">
        <f>'Input AC Report '!U12</f>
        <v>PK</v>
      </c>
      <c r="AG12" s="34">
        <f>'Input AC Report '!S12</f>
        <v>27.2</v>
      </c>
      <c r="AH12" s="34">
        <f>'Input AC Report '!T12</f>
        <v>59</v>
      </c>
      <c r="AI12" s="4" t="str">
        <f>_xlfn.IFNA(VLOOKUP('Input AC Report '!J12,Validation!J:K,2,FALSE),"")</f>
        <v>permanent import</v>
      </c>
      <c r="AJ12" s="4" t="str">
        <f>MID('Input AC Report '!GX12,45,30)</f>
        <v>Westerkappeln</v>
      </c>
      <c r="AK12" s="4" t="str">
        <f>MID('Input AC Report '!GP12,12,35)</f>
        <v>000,HELLA GMBH &amp; CO. KGAAUST</v>
      </c>
      <c r="AM12" s="4" t="str">
        <f>'Input AC Report '!A12</f>
        <v>SSFO0157569</v>
      </c>
      <c r="AN12" s="4" t="str">
        <f>'Input AC Report '!A12</f>
        <v>SSFO0157569</v>
      </c>
    </row>
    <row r="13" s="4" customFormat="1" spans="1:40">
      <c r="A13" s="4" t="str">
        <f>'Input AC Report '!BL13</f>
        <v>ATC400087380520253302/00001</v>
      </c>
      <c r="B13" s="4">
        <f>'Input AC Report '!G13</f>
        <v>1</v>
      </c>
      <c r="C13" s="4" t="str">
        <f>'Input AC Report '!GO13</f>
        <v>DE2393166-0000,HELLA GMBH &amp; CO. KGAAUST</v>
      </c>
      <c r="D13" s="4" t="str">
        <f t="shared" si="0"/>
        <v>DE2393166</v>
      </c>
      <c r="E13" s="32" t="str">
        <f>_xlfn.IFNA(VLOOKUP('Input AC Report '!DU13,Validation!A:B,2,FALSE),"")</f>
        <v/>
      </c>
      <c r="F13" s="32" t="str">
        <f>_xlfn.IFNA(VLOOKUP('Input AC Report '!EQ13,Validation!A:B,2,FALSE),"")</f>
        <v/>
      </c>
      <c r="G13" s="33" t="str">
        <f>_xlfn.IFNA(VLOOKUP('Input AC Report '!I13,Validation!D:E,2,FALSE),"")</f>
        <v>FRA</v>
      </c>
      <c r="H13" s="4" t="str">
        <f>LEFT('Input AC Report '!I13,2)</f>
        <v>DE</v>
      </c>
      <c r="I13" s="4" t="str">
        <f>'Input AC Report '!AS13</f>
        <v>CN</v>
      </c>
      <c r="J13" s="4" t="str">
        <f>'Input AC Report '!AR13</f>
        <v>CN</v>
      </c>
      <c r="K13" s="4">
        <f>'Input AC Report '!O13</f>
        <v>90019000900</v>
      </c>
      <c r="L13" s="4" t="str">
        <f>'Input AC Report '!N13</f>
        <v>Mikrolinsen-Arrays  - Optikelement für Kfz</v>
      </c>
      <c r="M13" s="34">
        <f>'Input AC Report '!AB13</f>
        <v>328185</v>
      </c>
      <c r="N13" s="4" t="str">
        <f>'Input AC Report '!W13</f>
        <v>0090009360 0090009361 0090009362</v>
      </c>
      <c r="O13" s="4" t="str">
        <f>'Input AC Report '!AD13</f>
        <v>EUR</v>
      </c>
      <c r="P13" s="34">
        <f>'Input AC Report '!AE13</f>
        <v>1</v>
      </c>
      <c r="Q13" s="34">
        <f>'Input AC Report '!AH13</f>
        <v>328402.59</v>
      </c>
      <c r="R13" s="34" t="str">
        <f>'Input AC Report '!AG13</f>
        <v>CNY</v>
      </c>
      <c r="S13" s="34">
        <f>'Input AC Report '!AP13</f>
        <v>0</v>
      </c>
      <c r="T13" s="34">
        <f>'Input AC Report '!AJ13</f>
        <v>0</v>
      </c>
      <c r="U13" s="34">
        <f>'Input AC Report '!AN13</f>
        <v>328693.69</v>
      </c>
      <c r="V13" s="34">
        <f>'Input AC Report '!AO13</f>
        <v>62451.8</v>
      </c>
      <c r="W13" s="4">
        <v>19</v>
      </c>
      <c r="AA13" s="4" t="str">
        <f>'Input AC Report '!CI13</f>
        <v>Focuslight (Shaoguan) Optoelectronics Co.Ltd.,Shao</v>
      </c>
      <c r="AB13" s="4" t="str">
        <f>'Input AC Report '!GX13</f>
        <v>DE2329875-0024,DSV Air &amp; Sea Germany GmbH - Westerkappeln</v>
      </c>
      <c r="AC13" s="4" t="str">
        <f>_xlfn.IFNA(VLOOKUP('Input AC Report '!CU13,Validation!G:J,2,FALSE),"")</f>
        <v>Air</v>
      </c>
      <c r="AD13" s="4" t="str">
        <f>'Input AC Report '!X13</f>
        <v>DAP</v>
      </c>
      <c r="AE13" s="4">
        <f>'Input AC Report '!V13</f>
        <v>1</v>
      </c>
      <c r="AF13" s="4" t="str">
        <f>'Input AC Report '!U13</f>
        <v>PK</v>
      </c>
      <c r="AG13" s="34">
        <f>'Input AC Report '!S13</f>
        <v>135.1</v>
      </c>
      <c r="AH13" s="34">
        <f>'Input AC Report '!T13</f>
        <v>156</v>
      </c>
      <c r="AI13" s="4" t="str">
        <f>_xlfn.IFNA(VLOOKUP('Input AC Report '!J13,Validation!J:K,2,FALSE),"")</f>
        <v>permanent import</v>
      </c>
      <c r="AJ13" s="4" t="str">
        <f>MID('Input AC Report '!GX13,45,30)</f>
        <v>Westerkappeln</v>
      </c>
      <c r="AK13" s="4" t="str">
        <f>MID('Input AC Report '!GP13,12,35)</f>
        <v>000,HELLA GMBH &amp; CO. KGAAUST</v>
      </c>
      <c r="AM13" s="4" t="str">
        <f>'Input AC Report '!A13</f>
        <v>SSZX71003019</v>
      </c>
      <c r="AN13" s="4" t="str">
        <f>'Input AC Report '!A13</f>
        <v>SSZX71003019</v>
      </c>
    </row>
    <row r="14" s="4" customFormat="1" spans="1:40">
      <c r="A14" s="4">
        <f>'Input AC Report '!BL14</f>
        <v>0</v>
      </c>
      <c r="B14" s="4">
        <f>'Input AC Report '!G14</f>
        <v>0</v>
      </c>
      <c r="C14" s="4">
        <f>'Input AC Report '!GO14</f>
        <v>0</v>
      </c>
      <c r="D14" s="4" t="str">
        <f t="shared" si="0"/>
        <v>0</v>
      </c>
      <c r="E14" s="32" t="str">
        <f>_xlfn.IFNA(VLOOKUP('Input AC Report '!DU14,Validation!A:B,2,FALSE),"")</f>
        <v/>
      </c>
      <c r="F14" s="32" t="str">
        <f>_xlfn.IFNA(VLOOKUP('Input AC Report '!EQ14,Validation!A:B,2,FALSE),"")</f>
        <v/>
      </c>
      <c r="G14" s="33" t="str">
        <f>_xlfn.IFNA(VLOOKUP('Input AC Report '!I14,Validation!D:E,2,FALSE),"")</f>
        <v/>
      </c>
      <c r="H14" s="4" t="str">
        <f>LEFT('Input AC Report '!I14,2)</f>
        <v/>
      </c>
      <c r="I14" s="4">
        <f>'Input AC Report '!AS14</f>
        <v>0</v>
      </c>
      <c r="J14" s="4">
        <f>'Input AC Report '!AR14</f>
        <v>0</v>
      </c>
      <c r="K14" s="4">
        <f>'Input AC Report '!O14</f>
        <v>0</v>
      </c>
      <c r="L14" s="4">
        <f>'Input AC Report '!N14</f>
        <v>0</v>
      </c>
      <c r="M14" s="34">
        <f>'Input AC Report '!AB14</f>
        <v>0</v>
      </c>
      <c r="N14" s="4">
        <f>'Input AC Report '!W14</f>
        <v>0</v>
      </c>
      <c r="O14" s="4">
        <f>'Input AC Report '!AD14</f>
        <v>0</v>
      </c>
      <c r="P14" s="34">
        <f>'Input AC Report '!AE14</f>
        <v>0</v>
      </c>
      <c r="Q14" s="34">
        <f>'Input AC Report '!AH14</f>
        <v>0</v>
      </c>
      <c r="R14" s="34">
        <f>'Input AC Report '!AG14</f>
        <v>0</v>
      </c>
      <c r="S14" s="34">
        <f>'Input AC Report '!AP14</f>
        <v>0</v>
      </c>
      <c r="T14" s="34">
        <f>'Input AC Report '!AJ14</f>
        <v>0</v>
      </c>
      <c r="U14" s="34">
        <f>'Input AC Report '!AN14</f>
        <v>0</v>
      </c>
      <c r="V14" s="34">
        <f>'Input AC Report '!AO14</f>
        <v>0</v>
      </c>
      <c r="W14" s="4">
        <v>19</v>
      </c>
      <c r="AA14" s="4">
        <f>'Input AC Report '!CI14</f>
        <v>0</v>
      </c>
      <c r="AB14" s="4">
        <f>'Input AC Report '!GX14</f>
        <v>0</v>
      </c>
      <c r="AC14" s="4" t="str">
        <f>_xlfn.IFNA(VLOOKUP('Input AC Report '!CU14,Validation!G:J,2,FALSE),"")</f>
        <v/>
      </c>
      <c r="AD14" s="4">
        <f>'Input AC Report '!X14</f>
        <v>0</v>
      </c>
      <c r="AE14" s="4">
        <f>'Input AC Report '!V14</f>
        <v>0</v>
      </c>
      <c r="AF14" s="4">
        <f>'Input AC Report '!U14</f>
        <v>0</v>
      </c>
      <c r="AG14" s="34">
        <f>'Input AC Report '!S14</f>
        <v>0</v>
      </c>
      <c r="AH14" s="34">
        <f>'Input AC Report '!T14</f>
        <v>0</v>
      </c>
      <c r="AI14" s="4" t="str">
        <f>_xlfn.IFNA(VLOOKUP('Input AC Report '!J14,Validation!J:K,2,FALSE),"")</f>
        <v/>
      </c>
      <c r="AJ14" s="4" t="str">
        <f>MID('Input AC Report '!GX14,45,30)</f>
        <v/>
      </c>
      <c r="AK14" s="4" t="str">
        <f>MID('Input AC Report '!GP14,12,35)</f>
        <v/>
      </c>
      <c r="AM14" s="4">
        <f>'Input AC Report '!A14</f>
        <v>0</v>
      </c>
      <c r="AN14" s="4">
        <f>'Input AC Report '!A14</f>
        <v>0</v>
      </c>
    </row>
    <row r="15" s="4" customFormat="1" spans="1:40">
      <c r="A15" s="4">
        <f>'Input AC Report '!BL15</f>
        <v>0</v>
      </c>
      <c r="B15" s="4">
        <f>'Input AC Report '!G15</f>
        <v>0</v>
      </c>
      <c r="C15" s="4">
        <f>'Input AC Report '!GO15</f>
        <v>0</v>
      </c>
      <c r="D15" s="4" t="str">
        <f t="shared" si="0"/>
        <v>0</v>
      </c>
      <c r="E15" s="32" t="str">
        <f>_xlfn.IFNA(VLOOKUP('Input AC Report '!DU15,Validation!A:B,2,FALSE),"")</f>
        <v/>
      </c>
      <c r="F15" s="32" t="str">
        <f>_xlfn.IFNA(VLOOKUP('Input AC Report '!EQ15,Validation!A:B,2,FALSE),"")</f>
        <v/>
      </c>
      <c r="G15" s="33" t="str">
        <f>_xlfn.IFNA(VLOOKUP('Input AC Report '!I15,Validation!D:E,2,FALSE),"")</f>
        <v/>
      </c>
      <c r="H15" s="4" t="str">
        <f>LEFT('Input AC Report '!I15,2)</f>
        <v/>
      </c>
      <c r="I15" s="4">
        <f>'Input AC Report '!AS15</f>
        <v>0</v>
      </c>
      <c r="J15" s="4">
        <f>'Input AC Report '!AR15</f>
        <v>0</v>
      </c>
      <c r="K15" s="4">
        <f>'Input AC Report '!O15</f>
        <v>0</v>
      </c>
      <c r="L15" s="4">
        <f>'Input AC Report '!N15</f>
        <v>0</v>
      </c>
      <c r="M15" s="34">
        <f>'Input AC Report '!AB15</f>
        <v>0</v>
      </c>
      <c r="N15" s="4">
        <f>'Input AC Report '!W15</f>
        <v>0</v>
      </c>
      <c r="O15" s="4">
        <f>'Input AC Report '!AD15</f>
        <v>0</v>
      </c>
      <c r="P15" s="34">
        <f>'Input AC Report '!AE15</f>
        <v>0</v>
      </c>
      <c r="Q15" s="34">
        <f>'Input AC Report '!AH15</f>
        <v>0</v>
      </c>
      <c r="R15" s="34">
        <f>'Input AC Report '!AG15</f>
        <v>0</v>
      </c>
      <c r="S15" s="34">
        <f>'Input AC Report '!AP15</f>
        <v>0</v>
      </c>
      <c r="T15" s="34">
        <f>'Input AC Report '!AJ15</f>
        <v>0</v>
      </c>
      <c r="U15" s="34">
        <f>'Input AC Report '!AN15</f>
        <v>0</v>
      </c>
      <c r="V15" s="34">
        <f>'Input AC Report '!AO15</f>
        <v>0</v>
      </c>
      <c r="W15" s="4">
        <v>19</v>
      </c>
      <c r="AA15" s="4">
        <f>'Input AC Report '!CI15</f>
        <v>0</v>
      </c>
      <c r="AB15" s="4">
        <f>'Input AC Report '!GX15</f>
        <v>0</v>
      </c>
      <c r="AC15" s="4" t="str">
        <f>_xlfn.IFNA(VLOOKUP('Input AC Report '!CU15,Validation!G:J,2,FALSE),"")</f>
        <v/>
      </c>
      <c r="AD15" s="4">
        <f>'Input AC Report '!X15</f>
        <v>0</v>
      </c>
      <c r="AE15" s="4">
        <f>'Input AC Report '!V15</f>
        <v>0</v>
      </c>
      <c r="AF15" s="4">
        <f>'Input AC Report '!U15</f>
        <v>0</v>
      </c>
      <c r="AG15" s="34">
        <f>'Input AC Report '!S15</f>
        <v>0</v>
      </c>
      <c r="AH15" s="34">
        <f>'Input AC Report '!T15</f>
        <v>0</v>
      </c>
      <c r="AI15" s="4" t="str">
        <f>_xlfn.IFNA(VLOOKUP('Input AC Report '!J15,Validation!J:K,2,FALSE),"")</f>
        <v/>
      </c>
      <c r="AJ15" s="4" t="str">
        <f>MID('Input AC Report '!GX15,45,30)</f>
        <v/>
      </c>
      <c r="AK15" s="4" t="str">
        <f>MID('Input AC Report '!GP15,12,35)</f>
        <v/>
      </c>
      <c r="AM15" s="4">
        <f>'Input AC Report '!A15</f>
        <v>0</v>
      </c>
      <c r="AN15" s="4">
        <f>'Input AC Report '!A15</f>
        <v>0</v>
      </c>
    </row>
    <row r="16" s="4" customFormat="1" spans="1:40">
      <c r="A16" s="4">
        <f>'Input AC Report '!BL16</f>
        <v>0</v>
      </c>
      <c r="B16" s="4">
        <f>'Input AC Report '!G16</f>
        <v>0</v>
      </c>
      <c r="C16" s="4">
        <f>'Input AC Report '!GO16</f>
        <v>0</v>
      </c>
      <c r="D16" s="4" t="str">
        <f t="shared" si="0"/>
        <v>0</v>
      </c>
      <c r="E16" s="32" t="str">
        <f>_xlfn.IFNA(VLOOKUP('Input AC Report '!DU16,Validation!A:B,2,FALSE),"")</f>
        <v/>
      </c>
      <c r="F16" s="32" t="str">
        <f>_xlfn.IFNA(VLOOKUP('Input AC Report '!EQ16,Validation!A:B,2,FALSE),"")</f>
        <v/>
      </c>
      <c r="G16" s="33" t="str">
        <f>_xlfn.IFNA(VLOOKUP('Input AC Report '!I16,Validation!D:E,2,FALSE),"")</f>
        <v/>
      </c>
      <c r="H16" s="4" t="str">
        <f>LEFT('Input AC Report '!I16,2)</f>
        <v/>
      </c>
      <c r="I16" s="4">
        <f>'Input AC Report '!AS16</f>
        <v>0</v>
      </c>
      <c r="J16" s="4">
        <f>'Input AC Report '!AR16</f>
        <v>0</v>
      </c>
      <c r="K16" s="4">
        <f>'Input AC Report '!O16</f>
        <v>0</v>
      </c>
      <c r="L16" s="4">
        <f>'Input AC Report '!N16</f>
        <v>0</v>
      </c>
      <c r="M16" s="34">
        <f>'Input AC Report '!AB16</f>
        <v>0</v>
      </c>
      <c r="N16" s="4">
        <f>'Input AC Report '!W16</f>
        <v>0</v>
      </c>
      <c r="O16" s="4">
        <f>'Input AC Report '!AD16</f>
        <v>0</v>
      </c>
      <c r="P16" s="34">
        <f>'Input AC Report '!AE16</f>
        <v>0</v>
      </c>
      <c r="Q16" s="34">
        <f>'Input AC Report '!AH16</f>
        <v>0</v>
      </c>
      <c r="R16" s="34">
        <f>'Input AC Report '!AG16</f>
        <v>0</v>
      </c>
      <c r="S16" s="34">
        <f>'Input AC Report '!AP16</f>
        <v>0</v>
      </c>
      <c r="T16" s="34">
        <f>'Input AC Report '!AJ16</f>
        <v>0</v>
      </c>
      <c r="U16" s="34">
        <f>'Input AC Report '!AN16</f>
        <v>0</v>
      </c>
      <c r="V16" s="34">
        <f>'Input AC Report '!AO16</f>
        <v>0</v>
      </c>
      <c r="W16" s="4">
        <v>19</v>
      </c>
      <c r="AA16" s="4">
        <f>'Input AC Report '!CI16</f>
        <v>0</v>
      </c>
      <c r="AB16" s="4">
        <f>'Input AC Report '!GX16</f>
        <v>0</v>
      </c>
      <c r="AC16" s="4" t="str">
        <f>_xlfn.IFNA(VLOOKUP('Input AC Report '!CU16,Validation!G:J,2,FALSE),"")</f>
        <v/>
      </c>
      <c r="AD16" s="4">
        <f>'Input AC Report '!X16</f>
        <v>0</v>
      </c>
      <c r="AE16" s="4">
        <f>'Input AC Report '!V16</f>
        <v>0</v>
      </c>
      <c r="AF16" s="4">
        <f>'Input AC Report '!U16</f>
        <v>0</v>
      </c>
      <c r="AG16" s="34">
        <f>'Input AC Report '!S16</f>
        <v>0</v>
      </c>
      <c r="AH16" s="34">
        <f>'Input AC Report '!T16</f>
        <v>0</v>
      </c>
      <c r="AI16" s="4" t="str">
        <f>_xlfn.IFNA(VLOOKUP('Input AC Report '!J16,Validation!J:K,2,FALSE),"")</f>
        <v/>
      </c>
      <c r="AJ16" s="4" t="str">
        <f>MID('Input AC Report '!GX16,45,30)</f>
        <v/>
      </c>
      <c r="AK16" s="4" t="str">
        <f>MID('Input AC Report '!GP16,12,35)</f>
        <v/>
      </c>
      <c r="AM16" s="4">
        <f>'Input AC Report '!A16</f>
        <v>0</v>
      </c>
      <c r="AN16" s="4">
        <f>'Input AC Report '!A16</f>
        <v>0</v>
      </c>
    </row>
    <row r="17" s="4" customFormat="1" spans="1:40">
      <c r="A17" s="4">
        <f>'Input AC Report '!BL17</f>
        <v>0</v>
      </c>
      <c r="B17" s="4">
        <f>'Input AC Report '!G17</f>
        <v>0</v>
      </c>
      <c r="C17" s="4">
        <f>'Input AC Report '!GO17</f>
        <v>0</v>
      </c>
      <c r="D17" s="4" t="str">
        <f t="shared" si="0"/>
        <v>0</v>
      </c>
      <c r="E17" s="32" t="str">
        <f>_xlfn.IFNA(VLOOKUP('Input AC Report '!DU17,Validation!A:B,2,FALSE),"")</f>
        <v/>
      </c>
      <c r="F17" s="32" t="str">
        <f>_xlfn.IFNA(VLOOKUP('Input AC Report '!EQ17,Validation!A:B,2,FALSE),"")</f>
        <v/>
      </c>
      <c r="G17" s="33" t="str">
        <f>_xlfn.IFNA(VLOOKUP('Input AC Report '!I17,Validation!D:E,2,FALSE),"")</f>
        <v/>
      </c>
      <c r="H17" s="4" t="str">
        <f>LEFT('Input AC Report '!I17,2)</f>
        <v/>
      </c>
      <c r="I17" s="4">
        <f>'Input AC Report '!AS17</f>
        <v>0</v>
      </c>
      <c r="J17" s="4">
        <f>'Input AC Report '!AR17</f>
        <v>0</v>
      </c>
      <c r="K17" s="4">
        <f>'Input AC Report '!O17</f>
        <v>0</v>
      </c>
      <c r="L17" s="4">
        <f>'Input AC Report '!N17</f>
        <v>0</v>
      </c>
      <c r="M17" s="34">
        <f>'Input AC Report '!AB17</f>
        <v>0</v>
      </c>
      <c r="N17" s="4">
        <f>'Input AC Report '!W17</f>
        <v>0</v>
      </c>
      <c r="O17" s="4">
        <f>'Input AC Report '!AD17</f>
        <v>0</v>
      </c>
      <c r="P17" s="34">
        <f>'Input AC Report '!AE17</f>
        <v>0</v>
      </c>
      <c r="Q17" s="34">
        <f>'Input AC Report '!AH17</f>
        <v>0</v>
      </c>
      <c r="R17" s="34">
        <f>'Input AC Report '!AG17</f>
        <v>0</v>
      </c>
      <c r="S17" s="34">
        <f>'Input AC Report '!AP17</f>
        <v>0</v>
      </c>
      <c r="T17" s="34">
        <f>'Input AC Report '!AJ17</f>
        <v>0</v>
      </c>
      <c r="U17" s="34">
        <f>'Input AC Report '!AN17</f>
        <v>0</v>
      </c>
      <c r="V17" s="34">
        <f>'Input AC Report '!AO17</f>
        <v>0</v>
      </c>
      <c r="W17" s="4">
        <v>19</v>
      </c>
      <c r="AA17" s="4">
        <f>'Input AC Report '!CI17</f>
        <v>0</v>
      </c>
      <c r="AB17" s="4">
        <f>'Input AC Report '!GX17</f>
        <v>0</v>
      </c>
      <c r="AC17" s="4" t="str">
        <f>_xlfn.IFNA(VLOOKUP('Input AC Report '!CU17,Validation!G:J,2,FALSE),"")</f>
        <v/>
      </c>
      <c r="AD17" s="4">
        <f>'Input AC Report '!X17</f>
        <v>0</v>
      </c>
      <c r="AE17" s="4">
        <f>'Input AC Report '!V17</f>
        <v>0</v>
      </c>
      <c r="AF17" s="4">
        <f>'Input AC Report '!U17</f>
        <v>0</v>
      </c>
      <c r="AG17" s="34">
        <f>'Input AC Report '!S17</f>
        <v>0</v>
      </c>
      <c r="AH17" s="34">
        <f>'Input AC Report '!T17</f>
        <v>0</v>
      </c>
      <c r="AI17" s="4" t="str">
        <f>_xlfn.IFNA(VLOOKUP('Input AC Report '!J17,Validation!J:K,2,FALSE),"")</f>
        <v/>
      </c>
      <c r="AJ17" s="4" t="str">
        <f>MID('Input AC Report '!GX17,45,30)</f>
        <v/>
      </c>
      <c r="AK17" s="4" t="str">
        <f>MID('Input AC Report '!GP17,12,35)</f>
        <v/>
      </c>
      <c r="AM17" s="4">
        <f>'Input AC Report '!A17</f>
        <v>0</v>
      </c>
      <c r="AN17" s="4">
        <f>'Input AC Report '!A17</f>
        <v>0</v>
      </c>
    </row>
    <row r="18" s="4" customFormat="1" spans="1:40">
      <c r="A18" s="4">
        <f>'Input AC Report '!BL18</f>
        <v>0</v>
      </c>
      <c r="B18" s="4">
        <f>'Input AC Report '!G18</f>
        <v>0</v>
      </c>
      <c r="C18" s="4">
        <f>'Input AC Report '!GO18</f>
        <v>0</v>
      </c>
      <c r="D18" s="4" t="str">
        <f t="shared" si="0"/>
        <v>0</v>
      </c>
      <c r="E18" s="32" t="str">
        <f>_xlfn.IFNA(VLOOKUP('Input AC Report '!DU18,Validation!A:B,2,FALSE),"")</f>
        <v/>
      </c>
      <c r="F18" s="32" t="str">
        <f>_xlfn.IFNA(VLOOKUP('Input AC Report '!EQ18,Validation!A:B,2,FALSE),"")</f>
        <v/>
      </c>
      <c r="G18" s="33" t="str">
        <f>_xlfn.IFNA(VLOOKUP('Input AC Report '!I18,Validation!D:E,2,FALSE),"")</f>
        <v/>
      </c>
      <c r="H18" s="4" t="str">
        <f>LEFT('Input AC Report '!I18,2)</f>
        <v/>
      </c>
      <c r="I18" s="4">
        <f>'Input AC Report '!AS18</f>
        <v>0</v>
      </c>
      <c r="J18" s="4">
        <f>'Input AC Report '!AR18</f>
        <v>0</v>
      </c>
      <c r="K18" s="4">
        <f>'Input AC Report '!O18</f>
        <v>0</v>
      </c>
      <c r="L18" s="4">
        <f>'Input AC Report '!N18</f>
        <v>0</v>
      </c>
      <c r="M18" s="34">
        <f>'Input AC Report '!AB18</f>
        <v>0</v>
      </c>
      <c r="N18" s="4">
        <f>'Input AC Report '!W18</f>
        <v>0</v>
      </c>
      <c r="O18" s="4">
        <f>'Input AC Report '!AD18</f>
        <v>0</v>
      </c>
      <c r="P18" s="34">
        <f>'Input AC Report '!AE18</f>
        <v>0</v>
      </c>
      <c r="Q18" s="34">
        <f>'Input AC Report '!AH18</f>
        <v>0</v>
      </c>
      <c r="R18" s="34">
        <f>'Input AC Report '!AG18</f>
        <v>0</v>
      </c>
      <c r="S18" s="34">
        <f>'Input AC Report '!AP18</f>
        <v>0</v>
      </c>
      <c r="T18" s="34">
        <f>'Input AC Report '!AJ18</f>
        <v>0</v>
      </c>
      <c r="U18" s="34">
        <f>'Input AC Report '!AN18</f>
        <v>0</v>
      </c>
      <c r="V18" s="34">
        <f>'Input AC Report '!AO18</f>
        <v>0</v>
      </c>
      <c r="W18" s="4">
        <v>19</v>
      </c>
      <c r="AA18" s="4">
        <f>'Input AC Report '!CI18</f>
        <v>0</v>
      </c>
      <c r="AB18" s="4">
        <f>'Input AC Report '!GX18</f>
        <v>0</v>
      </c>
      <c r="AC18" s="4" t="str">
        <f>_xlfn.IFNA(VLOOKUP('Input AC Report '!CU18,Validation!G:J,2,FALSE),"")</f>
        <v/>
      </c>
      <c r="AD18" s="4">
        <f>'Input AC Report '!X18</f>
        <v>0</v>
      </c>
      <c r="AE18" s="4">
        <f>'Input AC Report '!V18</f>
        <v>0</v>
      </c>
      <c r="AF18" s="4">
        <f>'Input AC Report '!U18</f>
        <v>0</v>
      </c>
      <c r="AG18" s="34">
        <f>'Input AC Report '!S18</f>
        <v>0</v>
      </c>
      <c r="AH18" s="34">
        <f>'Input AC Report '!T18</f>
        <v>0</v>
      </c>
      <c r="AI18" s="4" t="str">
        <f>_xlfn.IFNA(VLOOKUP('Input AC Report '!J18,Validation!J:K,2,FALSE),"")</f>
        <v/>
      </c>
      <c r="AJ18" s="4" t="str">
        <f>MID('Input AC Report '!GX18,45,30)</f>
        <v/>
      </c>
      <c r="AK18" s="4" t="str">
        <f>MID('Input AC Report '!GP18,12,35)</f>
        <v/>
      </c>
      <c r="AM18" s="4">
        <f>'Input AC Report '!A18</f>
        <v>0</v>
      </c>
      <c r="AN18" s="4">
        <f>'Input AC Report '!A18</f>
        <v>0</v>
      </c>
    </row>
    <row r="19" s="4" customFormat="1" spans="1:40">
      <c r="A19" s="4">
        <f>'Input AC Report '!BL19</f>
        <v>0</v>
      </c>
      <c r="B19" s="4">
        <f>'Input AC Report '!G19</f>
        <v>0</v>
      </c>
      <c r="C19" s="4">
        <f>'Input AC Report '!GO19</f>
        <v>0</v>
      </c>
      <c r="D19" s="4" t="str">
        <f t="shared" si="0"/>
        <v>0</v>
      </c>
      <c r="E19" s="32" t="str">
        <f>_xlfn.IFNA(VLOOKUP('Input AC Report '!DU19,Validation!A:B,2,FALSE),"")</f>
        <v/>
      </c>
      <c r="F19" s="32" t="str">
        <f>_xlfn.IFNA(VLOOKUP('Input AC Report '!EQ19,Validation!A:B,2,FALSE),"")</f>
        <v/>
      </c>
      <c r="G19" s="33" t="str">
        <f>_xlfn.IFNA(VLOOKUP('Input AC Report '!I19,Validation!D:E,2,FALSE),"")</f>
        <v/>
      </c>
      <c r="H19" s="4" t="str">
        <f>LEFT('Input AC Report '!I19,2)</f>
        <v/>
      </c>
      <c r="I19" s="4">
        <f>'Input AC Report '!AS19</f>
        <v>0</v>
      </c>
      <c r="J19" s="4">
        <f>'Input AC Report '!AR19</f>
        <v>0</v>
      </c>
      <c r="K19" s="4">
        <f>'Input AC Report '!O19</f>
        <v>0</v>
      </c>
      <c r="L19" s="4">
        <f>'Input AC Report '!N19</f>
        <v>0</v>
      </c>
      <c r="M19" s="34">
        <f>'Input AC Report '!AB19</f>
        <v>0</v>
      </c>
      <c r="N19" s="4">
        <f>'Input AC Report '!W19</f>
        <v>0</v>
      </c>
      <c r="O19" s="4">
        <f>'Input AC Report '!AD19</f>
        <v>0</v>
      </c>
      <c r="P19" s="34">
        <f>'Input AC Report '!AE19</f>
        <v>0</v>
      </c>
      <c r="Q19" s="34">
        <f>'Input AC Report '!AH19</f>
        <v>0</v>
      </c>
      <c r="R19" s="34">
        <f>'Input AC Report '!AG19</f>
        <v>0</v>
      </c>
      <c r="S19" s="34">
        <f>'Input AC Report '!AP19</f>
        <v>0</v>
      </c>
      <c r="T19" s="34">
        <f>'Input AC Report '!AJ19</f>
        <v>0</v>
      </c>
      <c r="U19" s="34">
        <f>'Input AC Report '!AN19</f>
        <v>0</v>
      </c>
      <c r="V19" s="34">
        <f>'Input AC Report '!AO19</f>
        <v>0</v>
      </c>
      <c r="W19" s="4">
        <v>19</v>
      </c>
      <c r="AA19" s="4">
        <f>'Input AC Report '!CI19</f>
        <v>0</v>
      </c>
      <c r="AB19" s="4">
        <f>'Input AC Report '!GX19</f>
        <v>0</v>
      </c>
      <c r="AC19" s="4" t="str">
        <f>_xlfn.IFNA(VLOOKUP('Input AC Report '!CU19,Validation!G:J,2,FALSE),"")</f>
        <v/>
      </c>
      <c r="AD19" s="4">
        <f>'Input AC Report '!X19</f>
        <v>0</v>
      </c>
      <c r="AE19" s="4">
        <f>'Input AC Report '!V19</f>
        <v>0</v>
      </c>
      <c r="AF19" s="4">
        <f>'Input AC Report '!U19</f>
        <v>0</v>
      </c>
      <c r="AG19" s="34">
        <f>'Input AC Report '!S19</f>
        <v>0</v>
      </c>
      <c r="AH19" s="34">
        <f>'Input AC Report '!T19</f>
        <v>0</v>
      </c>
      <c r="AI19" s="4" t="str">
        <f>_xlfn.IFNA(VLOOKUP('Input AC Report '!J19,Validation!J:K,2,FALSE),"")</f>
        <v/>
      </c>
      <c r="AJ19" s="4" t="str">
        <f>MID('Input AC Report '!GX19,45,30)</f>
        <v/>
      </c>
      <c r="AK19" s="4" t="str">
        <f>MID('Input AC Report '!GP19,12,35)</f>
        <v/>
      </c>
      <c r="AM19" s="4">
        <f>'Input AC Report '!A19</f>
        <v>0</v>
      </c>
      <c r="AN19" s="4">
        <f>'Input AC Report '!A19</f>
        <v>0</v>
      </c>
    </row>
    <row r="20" s="4" customFormat="1" spans="1:40">
      <c r="A20" s="4">
        <f>'Input AC Report '!BL20</f>
        <v>0</v>
      </c>
      <c r="B20" s="4">
        <f>'Input AC Report '!G20</f>
        <v>0</v>
      </c>
      <c r="C20" s="4">
        <f>'Input AC Report '!GO20</f>
        <v>0</v>
      </c>
      <c r="D20" s="4" t="str">
        <f t="shared" si="0"/>
        <v>0</v>
      </c>
      <c r="E20" s="32" t="str">
        <f>_xlfn.IFNA(VLOOKUP('Input AC Report '!DU20,Validation!A:B,2,FALSE),"")</f>
        <v/>
      </c>
      <c r="F20" s="32" t="str">
        <f>_xlfn.IFNA(VLOOKUP('Input AC Report '!EQ20,Validation!A:B,2,FALSE),"")</f>
        <v/>
      </c>
      <c r="G20" s="33" t="str">
        <f>_xlfn.IFNA(VLOOKUP('Input AC Report '!I20,Validation!D:E,2,FALSE),"")</f>
        <v/>
      </c>
      <c r="H20" s="4" t="str">
        <f>LEFT('Input AC Report '!I20,2)</f>
        <v/>
      </c>
      <c r="I20" s="4">
        <f>'Input AC Report '!AS20</f>
        <v>0</v>
      </c>
      <c r="J20" s="4">
        <f>'Input AC Report '!AR20</f>
        <v>0</v>
      </c>
      <c r="K20" s="4">
        <f>'Input AC Report '!O20</f>
        <v>0</v>
      </c>
      <c r="L20" s="4">
        <f>'Input AC Report '!N20</f>
        <v>0</v>
      </c>
      <c r="M20" s="34">
        <f>'Input AC Report '!AB20</f>
        <v>0</v>
      </c>
      <c r="N20" s="4">
        <f>'Input AC Report '!W20</f>
        <v>0</v>
      </c>
      <c r="O20" s="4">
        <f>'Input AC Report '!AD20</f>
        <v>0</v>
      </c>
      <c r="P20" s="34">
        <f>'Input AC Report '!AE20</f>
        <v>0</v>
      </c>
      <c r="Q20" s="34">
        <f>'Input AC Report '!AH20</f>
        <v>0</v>
      </c>
      <c r="R20" s="34">
        <f>'Input AC Report '!AG20</f>
        <v>0</v>
      </c>
      <c r="S20" s="34">
        <f>'Input AC Report '!AP20</f>
        <v>0</v>
      </c>
      <c r="T20" s="34">
        <f>'Input AC Report '!AJ20</f>
        <v>0</v>
      </c>
      <c r="U20" s="34">
        <f>'Input AC Report '!AN20</f>
        <v>0</v>
      </c>
      <c r="V20" s="34">
        <f>'Input AC Report '!AO20</f>
        <v>0</v>
      </c>
      <c r="W20" s="4">
        <v>19</v>
      </c>
      <c r="AA20" s="4">
        <f>'Input AC Report '!CI20</f>
        <v>0</v>
      </c>
      <c r="AB20" s="4">
        <f>'Input AC Report '!GX20</f>
        <v>0</v>
      </c>
      <c r="AC20" s="4" t="str">
        <f>_xlfn.IFNA(VLOOKUP('Input AC Report '!CU20,Validation!G:J,2,FALSE),"")</f>
        <v/>
      </c>
      <c r="AD20" s="4">
        <f>'Input AC Report '!X20</f>
        <v>0</v>
      </c>
      <c r="AE20" s="4">
        <f>'Input AC Report '!V20</f>
        <v>0</v>
      </c>
      <c r="AF20" s="4">
        <f>'Input AC Report '!U20</f>
        <v>0</v>
      </c>
      <c r="AG20" s="34">
        <f>'Input AC Report '!S20</f>
        <v>0</v>
      </c>
      <c r="AH20" s="34">
        <f>'Input AC Report '!T20</f>
        <v>0</v>
      </c>
      <c r="AI20" s="4" t="str">
        <f>_xlfn.IFNA(VLOOKUP('Input AC Report '!J20,Validation!J:K,2,FALSE),"")</f>
        <v/>
      </c>
      <c r="AJ20" s="4" t="str">
        <f>MID('Input AC Report '!GX20,45,30)</f>
        <v/>
      </c>
      <c r="AK20" s="4" t="str">
        <f>MID('Input AC Report '!GP20,12,35)</f>
        <v/>
      </c>
      <c r="AM20" s="4">
        <f>'Input AC Report '!A20</f>
        <v>0</v>
      </c>
      <c r="AN20" s="4">
        <f>'Input AC Report '!A20</f>
        <v>0</v>
      </c>
    </row>
    <row r="21" s="4" customFormat="1" spans="1:40">
      <c r="A21" s="4">
        <f>'Input AC Report '!BL21</f>
        <v>0</v>
      </c>
      <c r="B21" s="4">
        <f>'Input AC Report '!G21</f>
        <v>0</v>
      </c>
      <c r="C21" s="4">
        <f>'Input AC Report '!GO21</f>
        <v>0</v>
      </c>
      <c r="D21" s="4" t="str">
        <f t="shared" si="0"/>
        <v>0</v>
      </c>
      <c r="E21" s="32" t="str">
        <f>_xlfn.IFNA(VLOOKUP('Input AC Report '!DU21,Validation!A:B,2,FALSE),"")</f>
        <v/>
      </c>
      <c r="F21" s="32" t="str">
        <f>_xlfn.IFNA(VLOOKUP('Input AC Report '!EQ21,Validation!A:B,2,FALSE),"")</f>
        <v/>
      </c>
      <c r="G21" s="33" t="str">
        <f>_xlfn.IFNA(VLOOKUP('Input AC Report '!I21,Validation!D:E,2,FALSE),"")</f>
        <v/>
      </c>
      <c r="H21" s="4" t="str">
        <f>LEFT('Input AC Report '!I21,2)</f>
        <v/>
      </c>
      <c r="I21" s="4">
        <f>'Input AC Report '!AS21</f>
        <v>0</v>
      </c>
      <c r="J21" s="4">
        <f>'Input AC Report '!AR21</f>
        <v>0</v>
      </c>
      <c r="K21" s="4">
        <f>'Input AC Report '!O21</f>
        <v>0</v>
      </c>
      <c r="L21" s="4">
        <f>'Input AC Report '!N21</f>
        <v>0</v>
      </c>
      <c r="M21" s="34">
        <f>'Input AC Report '!AB21</f>
        <v>0</v>
      </c>
      <c r="N21" s="4">
        <f>'Input AC Report '!W21</f>
        <v>0</v>
      </c>
      <c r="O21" s="4">
        <f>'Input AC Report '!AD21</f>
        <v>0</v>
      </c>
      <c r="P21" s="34">
        <f>'Input AC Report '!AE21</f>
        <v>0</v>
      </c>
      <c r="Q21" s="34">
        <f>'Input AC Report '!AH21</f>
        <v>0</v>
      </c>
      <c r="R21" s="34">
        <f>'Input AC Report '!AG21</f>
        <v>0</v>
      </c>
      <c r="S21" s="34">
        <f>'Input AC Report '!AP21</f>
        <v>0</v>
      </c>
      <c r="T21" s="34">
        <f>'Input AC Report '!AJ21</f>
        <v>0</v>
      </c>
      <c r="U21" s="34">
        <f>'Input AC Report '!AN21</f>
        <v>0</v>
      </c>
      <c r="V21" s="34">
        <f>'Input AC Report '!AO21</f>
        <v>0</v>
      </c>
      <c r="W21" s="4">
        <v>19</v>
      </c>
      <c r="AA21" s="4">
        <f>'Input AC Report '!CI21</f>
        <v>0</v>
      </c>
      <c r="AB21" s="4">
        <f>'Input AC Report '!GX21</f>
        <v>0</v>
      </c>
      <c r="AC21" s="4" t="str">
        <f>_xlfn.IFNA(VLOOKUP('Input AC Report '!CU21,Validation!G:J,2,FALSE),"")</f>
        <v/>
      </c>
      <c r="AD21" s="4">
        <f>'Input AC Report '!X21</f>
        <v>0</v>
      </c>
      <c r="AE21" s="4">
        <f>'Input AC Report '!V21</f>
        <v>0</v>
      </c>
      <c r="AF21" s="4">
        <f>'Input AC Report '!U21</f>
        <v>0</v>
      </c>
      <c r="AG21" s="34">
        <f>'Input AC Report '!S21</f>
        <v>0</v>
      </c>
      <c r="AH21" s="34">
        <f>'Input AC Report '!T21</f>
        <v>0</v>
      </c>
      <c r="AI21" s="4" t="str">
        <f>_xlfn.IFNA(VLOOKUP('Input AC Report '!J21,Validation!J:K,2,FALSE),"")</f>
        <v/>
      </c>
      <c r="AJ21" s="4" t="str">
        <f>MID('Input AC Report '!GX21,45,30)</f>
        <v/>
      </c>
      <c r="AK21" s="4" t="str">
        <f>MID('Input AC Report '!GP21,12,35)</f>
        <v/>
      </c>
      <c r="AM21" s="4">
        <f>'Input AC Report '!A21</f>
        <v>0</v>
      </c>
      <c r="AN21" s="4">
        <f>'Input AC Report '!A21</f>
        <v>0</v>
      </c>
    </row>
    <row r="22" s="4" customFormat="1" spans="1:40">
      <c r="A22" s="4">
        <f>'Input AC Report '!BL22</f>
        <v>0</v>
      </c>
      <c r="B22" s="4">
        <f>'Input AC Report '!G22</f>
        <v>0</v>
      </c>
      <c r="C22" s="4">
        <f>'Input AC Report '!GO22</f>
        <v>0</v>
      </c>
      <c r="D22" s="4" t="str">
        <f t="shared" si="0"/>
        <v>0</v>
      </c>
      <c r="E22" s="32" t="str">
        <f>_xlfn.IFNA(VLOOKUP('Input AC Report '!DU22,Validation!A:B,2,FALSE),"")</f>
        <v/>
      </c>
      <c r="F22" s="32" t="str">
        <f>_xlfn.IFNA(VLOOKUP('Input AC Report '!EQ22,Validation!A:B,2,FALSE),"")</f>
        <v/>
      </c>
      <c r="G22" s="33" t="str">
        <f>_xlfn.IFNA(VLOOKUP('Input AC Report '!I22,Validation!D:E,2,FALSE),"")</f>
        <v/>
      </c>
      <c r="H22" s="4" t="str">
        <f>LEFT('Input AC Report '!I22,2)</f>
        <v/>
      </c>
      <c r="I22" s="4">
        <f>'Input AC Report '!AS22</f>
        <v>0</v>
      </c>
      <c r="J22" s="4">
        <f>'Input AC Report '!AR22</f>
        <v>0</v>
      </c>
      <c r="K22" s="4">
        <f>'Input AC Report '!O22</f>
        <v>0</v>
      </c>
      <c r="L22" s="4">
        <f>'Input AC Report '!N22</f>
        <v>0</v>
      </c>
      <c r="M22" s="34">
        <f>'Input AC Report '!AB22</f>
        <v>0</v>
      </c>
      <c r="N22" s="4">
        <f>'Input AC Report '!W22</f>
        <v>0</v>
      </c>
      <c r="O22" s="4">
        <f>'Input AC Report '!AD22</f>
        <v>0</v>
      </c>
      <c r="P22" s="34">
        <f>'Input AC Report '!AE22</f>
        <v>0</v>
      </c>
      <c r="Q22" s="34">
        <f>'Input AC Report '!AH22</f>
        <v>0</v>
      </c>
      <c r="R22" s="34">
        <f>'Input AC Report '!AG22</f>
        <v>0</v>
      </c>
      <c r="S22" s="34">
        <f>'Input AC Report '!AP22</f>
        <v>0</v>
      </c>
      <c r="T22" s="34">
        <f>'Input AC Report '!AJ22</f>
        <v>0</v>
      </c>
      <c r="U22" s="34">
        <f>'Input AC Report '!AN22</f>
        <v>0</v>
      </c>
      <c r="V22" s="34">
        <f>'Input AC Report '!AO22</f>
        <v>0</v>
      </c>
      <c r="W22" s="4">
        <v>19</v>
      </c>
      <c r="AA22" s="4">
        <f>'Input AC Report '!CI22</f>
        <v>0</v>
      </c>
      <c r="AB22" s="4">
        <f>'Input AC Report '!GX22</f>
        <v>0</v>
      </c>
      <c r="AC22" s="4" t="str">
        <f>_xlfn.IFNA(VLOOKUP('Input AC Report '!CU22,Validation!G:J,2,FALSE),"")</f>
        <v/>
      </c>
      <c r="AD22" s="4">
        <f>'Input AC Report '!X22</f>
        <v>0</v>
      </c>
      <c r="AE22" s="4">
        <f>'Input AC Report '!V22</f>
        <v>0</v>
      </c>
      <c r="AF22" s="4">
        <f>'Input AC Report '!U22</f>
        <v>0</v>
      </c>
      <c r="AG22" s="34">
        <f>'Input AC Report '!S22</f>
        <v>0</v>
      </c>
      <c r="AH22" s="34">
        <f>'Input AC Report '!T22</f>
        <v>0</v>
      </c>
      <c r="AI22" s="4" t="str">
        <f>_xlfn.IFNA(VLOOKUP('Input AC Report '!J22,Validation!J:K,2,FALSE),"")</f>
        <v/>
      </c>
      <c r="AJ22" s="4" t="str">
        <f>MID('Input AC Report '!GX22,45,30)</f>
        <v/>
      </c>
      <c r="AK22" s="4" t="str">
        <f>MID('Input AC Report '!GP22,12,35)</f>
        <v/>
      </c>
      <c r="AM22" s="4">
        <f>'Input AC Report '!A22</f>
        <v>0</v>
      </c>
      <c r="AN22" s="4">
        <f>'Input AC Report '!A22</f>
        <v>0</v>
      </c>
    </row>
    <row r="23" s="4" customFormat="1" spans="1:40">
      <c r="A23" s="4">
        <f>'Input AC Report '!BL23</f>
        <v>0</v>
      </c>
      <c r="B23" s="4">
        <f>'Input AC Report '!G23</f>
        <v>0</v>
      </c>
      <c r="C23" s="4">
        <f>'Input AC Report '!GO23</f>
        <v>0</v>
      </c>
      <c r="D23" s="4" t="str">
        <f t="shared" si="0"/>
        <v>0</v>
      </c>
      <c r="E23" s="32" t="str">
        <f>_xlfn.IFNA(VLOOKUP('Input AC Report '!DU23,Validation!A:B,2,FALSE),"")</f>
        <v/>
      </c>
      <c r="F23" s="32" t="str">
        <f>_xlfn.IFNA(VLOOKUP('Input AC Report '!EQ23,Validation!A:B,2,FALSE),"")</f>
        <v/>
      </c>
      <c r="G23" s="33" t="str">
        <f>_xlfn.IFNA(VLOOKUP('Input AC Report '!I23,Validation!D:E,2,FALSE),"")</f>
        <v/>
      </c>
      <c r="H23" s="4" t="str">
        <f>LEFT('Input AC Report '!I23,2)</f>
        <v/>
      </c>
      <c r="I23" s="4">
        <f>'Input AC Report '!AS23</f>
        <v>0</v>
      </c>
      <c r="J23" s="4">
        <f>'Input AC Report '!AR23</f>
        <v>0</v>
      </c>
      <c r="K23" s="4">
        <f>'Input AC Report '!O23</f>
        <v>0</v>
      </c>
      <c r="L23" s="4">
        <f>'Input AC Report '!N23</f>
        <v>0</v>
      </c>
      <c r="M23" s="34">
        <f>'Input AC Report '!AB23</f>
        <v>0</v>
      </c>
      <c r="N23" s="4">
        <f>'Input AC Report '!W23</f>
        <v>0</v>
      </c>
      <c r="O23" s="4">
        <f>'Input AC Report '!AD23</f>
        <v>0</v>
      </c>
      <c r="P23" s="34">
        <f>'Input AC Report '!AE23</f>
        <v>0</v>
      </c>
      <c r="Q23" s="34">
        <f>'Input AC Report '!AH23</f>
        <v>0</v>
      </c>
      <c r="R23" s="34">
        <f>'Input AC Report '!AG23</f>
        <v>0</v>
      </c>
      <c r="S23" s="34">
        <f>'Input AC Report '!AP23</f>
        <v>0</v>
      </c>
      <c r="T23" s="34">
        <f>'Input AC Report '!AJ23</f>
        <v>0</v>
      </c>
      <c r="U23" s="34">
        <f>'Input AC Report '!AN23</f>
        <v>0</v>
      </c>
      <c r="V23" s="34">
        <f>'Input AC Report '!AO23</f>
        <v>0</v>
      </c>
      <c r="W23" s="4">
        <v>19</v>
      </c>
      <c r="AA23" s="4">
        <f>'Input AC Report '!CI23</f>
        <v>0</v>
      </c>
      <c r="AB23" s="4">
        <f>'Input AC Report '!GX23</f>
        <v>0</v>
      </c>
      <c r="AC23" s="4" t="str">
        <f>_xlfn.IFNA(VLOOKUP('Input AC Report '!CU23,Validation!G:J,2,FALSE),"")</f>
        <v/>
      </c>
      <c r="AD23" s="4">
        <f>'Input AC Report '!X23</f>
        <v>0</v>
      </c>
      <c r="AE23" s="4">
        <f>'Input AC Report '!V23</f>
        <v>0</v>
      </c>
      <c r="AF23" s="4">
        <f>'Input AC Report '!U23</f>
        <v>0</v>
      </c>
      <c r="AG23" s="34">
        <f>'Input AC Report '!S23</f>
        <v>0</v>
      </c>
      <c r="AH23" s="34">
        <f>'Input AC Report '!T23</f>
        <v>0</v>
      </c>
      <c r="AI23" s="4" t="str">
        <f>_xlfn.IFNA(VLOOKUP('Input AC Report '!J23,Validation!J:K,2,FALSE),"")</f>
        <v/>
      </c>
      <c r="AJ23" s="4" t="str">
        <f>MID('Input AC Report '!GX23,45,30)</f>
        <v/>
      </c>
      <c r="AK23" s="4" t="str">
        <f>MID('Input AC Report '!GP23,12,35)</f>
        <v/>
      </c>
      <c r="AM23" s="4">
        <f>'Input AC Report '!A23</f>
        <v>0</v>
      </c>
      <c r="AN23" s="4">
        <f>'Input AC Report '!A23</f>
        <v>0</v>
      </c>
    </row>
    <row r="24" s="4" customFormat="1" spans="1:40">
      <c r="A24" s="4">
        <f>'Input AC Report '!BL24</f>
        <v>0</v>
      </c>
      <c r="B24" s="4">
        <f>'Input AC Report '!G24</f>
        <v>0</v>
      </c>
      <c r="C24" s="4">
        <f>'Input AC Report '!GO24</f>
        <v>0</v>
      </c>
      <c r="D24" s="4" t="str">
        <f t="shared" si="0"/>
        <v>0</v>
      </c>
      <c r="E24" s="32" t="str">
        <f>_xlfn.IFNA(VLOOKUP('Input AC Report '!DU24,Validation!A:B,2,FALSE),"")</f>
        <v/>
      </c>
      <c r="F24" s="32" t="str">
        <f>_xlfn.IFNA(VLOOKUP('Input AC Report '!EQ24,Validation!A:B,2,FALSE),"")</f>
        <v/>
      </c>
      <c r="G24" s="33" t="str">
        <f>_xlfn.IFNA(VLOOKUP('Input AC Report '!I24,Validation!D:E,2,FALSE),"")</f>
        <v/>
      </c>
      <c r="H24" s="4" t="str">
        <f>LEFT('Input AC Report '!I24,2)</f>
        <v/>
      </c>
      <c r="I24" s="4">
        <f>'Input AC Report '!AS24</f>
        <v>0</v>
      </c>
      <c r="J24" s="4">
        <f>'Input AC Report '!AR24</f>
        <v>0</v>
      </c>
      <c r="K24" s="4">
        <f>'Input AC Report '!O24</f>
        <v>0</v>
      </c>
      <c r="L24" s="4">
        <f>'Input AC Report '!N24</f>
        <v>0</v>
      </c>
      <c r="M24" s="34">
        <f>'Input AC Report '!AB24</f>
        <v>0</v>
      </c>
      <c r="N24" s="4">
        <f>'Input AC Report '!W24</f>
        <v>0</v>
      </c>
      <c r="O24" s="4">
        <f>'Input AC Report '!AD24</f>
        <v>0</v>
      </c>
      <c r="P24" s="34">
        <f>'Input AC Report '!AE24</f>
        <v>0</v>
      </c>
      <c r="Q24" s="34">
        <f>'Input AC Report '!AH24</f>
        <v>0</v>
      </c>
      <c r="R24" s="34">
        <f>'Input AC Report '!AG24</f>
        <v>0</v>
      </c>
      <c r="S24" s="34">
        <f>'Input AC Report '!AP24</f>
        <v>0</v>
      </c>
      <c r="T24" s="34">
        <f>'Input AC Report '!AJ24</f>
        <v>0</v>
      </c>
      <c r="U24" s="34">
        <f>'Input AC Report '!AN24</f>
        <v>0</v>
      </c>
      <c r="V24" s="34">
        <f>'Input AC Report '!AO24</f>
        <v>0</v>
      </c>
      <c r="W24" s="4">
        <v>19</v>
      </c>
      <c r="AA24" s="4">
        <f>'Input AC Report '!CI24</f>
        <v>0</v>
      </c>
      <c r="AB24" s="4">
        <f>'Input AC Report '!GX24</f>
        <v>0</v>
      </c>
      <c r="AC24" s="4" t="str">
        <f>_xlfn.IFNA(VLOOKUP('Input AC Report '!CU24,Validation!G:J,2,FALSE),"")</f>
        <v/>
      </c>
      <c r="AD24" s="4">
        <f>'Input AC Report '!X24</f>
        <v>0</v>
      </c>
      <c r="AE24" s="4">
        <f>'Input AC Report '!V24</f>
        <v>0</v>
      </c>
      <c r="AF24" s="4">
        <f>'Input AC Report '!U24</f>
        <v>0</v>
      </c>
      <c r="AG24" s="34">
        <f>'Input AC Report '!S24</f>
        <v>0</v>
      </c>
      <c r="AH24" s="34">
        <f>'Input AC Report '!T24</f>
        <v>0</v>
      </c>
      <c r="AI24" s="4" t="str">
        <f>_xlfn.IFNA(VLOOKUP('Input AC Report '!J24,Validation!J:K,2,FALSE),"")</f>
        <v/>
      </c>
      <c r="AJ24" s="4" t="str">
        <f>MID('Input AC Report '!GX24,45,30)</f>
        <v/>
      </c>
      <c r="AK24" s="4" t="str">
        <f>MID('Input AC Report '!GP24,12,35)</f>
        <v/>
      </c>
      <c r="AM24" s="4">
        <f>'Input AC Report '!A24</f>
        <v>0</v>
      </c>
      <c r="AN24" s="4">
        <f>'Input AC Report '!A24</f>
        <v>0</v>
      </c>
    </row>
    <row r="25" s="4" customFormat="1" spans="1:40">
      <c r="A25" s="4">
        <f>'Input AC Report '!BL25</f>
        <v>0</v>
      </c>
      <c r="B25" s="4">
        <f>'Input AC Report '!G25</f>
        <v>0</v>
      </c>
      <c r="C25" s="4">
        <f>'Input AC Report '!GO25</f>
        <v>0</v>
      </c>
      <c r="D25" s="4" t="str">
        <f t="shared" si="0"/>
        <v>0</v>
      </c>
      <c r="E25" s="32" t="str">
        <f>_xlfn.IFNA(VLOOKUP('Input AC Report '!DU25,Validation!A:B,2,FALSE),"")</f>
        <v/>
      </c>
      <c r="F25" s="32" t="str">
        <f>_xlfn.IFNA(VLOOKUP('Input AC Report '!EQ25,Validation!A:B,2,FALSE),"")</f>
        <v/>
      </c>
      <c r="G25" s="33" t="str">
        <f>_xlfn.IFNA(VLOOKUP('Input AC Report '!I25,Validation!D:E,2,FALSE),"")</f>
        <v/>
      </c>
      <c r="H25" s="4" t="str">
        <f>LEFT('Input AC Report '!I25,2)</f>
        <v/>
      </c>
      <c r="I25" s="4">
        <f>'Input AC Report '!AS25</f>
        <v>0</v>
      </c>
      <c r="J25" s="4">
        <f>'Input AC Report '!AR25</f>
        <v>0</v>
      </c>
      <c r="K25" s="4">
        <f>'Input AC Report '!O25</f>
        <v>0</v>
      </c>
      <c r="L25" s="4">
        <f>'Input AC Report '!N25</f>
        <v>0</v>
      </c>
      <c r="M25" s="34">
        <f>'Input AC Report '!AB25</f>
        <v>0</v>
      </c>
      <c r="N25" s="4">
        <f>'Input AC Report '!W25</f>
        <v>0</v>
      </c>
      <c r="O25" s="4">
        <f>'Input AC Report '!AD25</f>
        <v>0</v>
      </c>
      <c r="P25" s="34">
        <f>'Input AC Report '!AE25</f>
        <v>0</v>
      </c>
      <c r="Q25" s="34">
        <f>'Input AC Report '!AH25</f>
        <v>0</v>
      </c>
      <c r="R25" s="34">
        <f>'Input AC Report '!AG25</f>
        <v>0</v>
      </c>
      <c r="S25" s="34">
        <f>'Input AC Report '!AP25</f>
        <v>0</v>
      </c>
      <c r="T25" s="34">
        <f>'Input AC Report '!AJ25</f>
        <v>0</v>
      </c>
      <c r="U25" s="34">
        <f>'Input AC Report '!AN25</f>
        <v>0</v>
      </c>
      <c r="V25" s="34">
        <f>'Input AC Report '!AO25</f>
        <v>0</v>
      </c>
      <c r="W25" s="4">
        <v>19</v>
      </c>
      <c r="AA25" s="4">
        <f>'Input AC Report '!CI25</f>
        <v>0</v>
      </c>
      <c r="AB25" s="4">
        <f>'Input AC Report '!GX25</f>
        <v>0</v>
      </c>
      <c r="AC25" s="4" t="str">
        <f>_xlfn.IFNA(VLOOKUP('Input AC Report '!CU25,Validation!G:J,2,FALSE),"")</f>
        <v/>
      </c>
      <c r="AD25" s="4">
        <f>'Input AC Report '!X25</f>
        <v>0</v>
      </c>
      <c r="AE25" s="4">
        <f>'Input AC Report '!V25</f>
        <v>0</v>
      </c>
      <c r="AF25" s="4">
        <f>'Input AC Report '!U25</f>
        <v>0</v>
      </c>
      <c r="AG25" s="34">
        <f>'Input AC Report '!S25</f>
        <v>0</v>
      </c>
      <c r="AH25" s="34">
        <f>'Input AC Report '!T25</f>
        <v>0</v>
      </c>
      <c r="AI25" s="4" t="str">
        <f>_xlfn.IFNA(VLOOKUP('Input AC Report '!J25,Validation!J:K,2,FALSE),"")</f>
        <v/>
      </c>
      <c r="AJ25" s="4" t="str">
        <f>MID('Input AC Report '!GX25,45,30)</f>
        <v/>
      </c>
      <c r="AK25" s="4" t="str">
        <f>MID('Input AC Report '!GP25,12,35)</f>
        <v/>
      </c>
      <c r="AM25" s="4">
        <f>'Input AC Report '!A25</f>
        <v>0</v>
      </c>
      <c r="AN25" s="4">
        <f>'Input AC Report '!A25</f>
        <v>0</v>
      </c>
    </row>
    <row r="26" s="4" customFormat="1" spans="1:40">
      <c r="A26" s="4">
        <f>'Input AC Report '!BL26</f>
        <v>0</v>
      </c>
      <c r="B26" s="4">
        <f>'Input AC Report '!G26</f>
        <v>0</v>
      </c>
      <c r="C26" s="4">
        <f>'Input AC Report '!GO26</f>
        <v>0</v>
      </c>
      <c r="D26" s="4" t="str">
        <f t="shared" si="0"/>
        <v>0</v>
      </c>
      <c r="E26" s="32" t="str">
        <f>_xlfn.IFNA(VLOOKUP('Input AC Report '!DU26,Validation!A:B,2,FALSE),"")</f>
        <v/>
      </c>
      <c r="F26" s="32" t="str">
        <f>_xlfn.IFNA(VLOOKUP('Input AC Report '!EQ26,Validation!A:B,2,FALSE),"")</f>
        <v/>
      </c>
      <c r="G26" s="33" t="str">
        <f>_xlfn.IFNA(VLOOKUP('Input AC Report '!I26,Validation!D:E,2,FALSE),"")</f>
        <v/>
      </c>
      <c r="H26" s="4" t="str">
        <f>LEFT('Input AC Report '!I26,2)</f>
        <v/>
      </c>
      <c r="I26" s="4">
        <f>'Input AC Report '!AS26</f>
        <v>0</v>
      </c>
      <c r="J26" s="4">
        <f>'Input AC Report '!AR26</f>
        <v>0</v>
      </c>
      <c r="K26" s="4">
        <f>'Input AC Report '!O26</f>
        <v>0</v>
      </c>
      <c r="L26" s="4">
        <f>'Input AC Report '!N26</f>
        <v>0</v>
      </c>
      <c r="M26" s="34">
        <f>'Input AC Report '!AB26</f>
        <v>0</v>
      </c>
      <c r="N26" s="4">
        <f>'Input AC Report '!W26</f>
        <v>0</v>
      </c>
      <c r="O26" s="4">
        <f>'Input AC Report '!AD26</f>
        <v>0</v>
      </c>
      <c r="P26" s="34">
        <f>'Input AC Report '!AE26</f>
        <v>0</v>
      </c>
      <c r="Q26" s="34">
        <f>'Input AC Report '!AH26</f>
        <v>0</v>
      </c>
      <c r="R26" s="34">
        <f>'Input AC Report '!AG26</f>
        <v>0</v>
      </c>
      <c r="S26" s="34">
        <f>'Input AC Report '!AP26</f>
        <v>0</v>
      </c>
      <c r="T26" s="34">
        <f>'Input AC Report '!AJ26</f>
        <v>0</v>
      </c>
      <c r="U26" s="34">
        <f>'Input AC Report '!AN26</f>
        <v>0</v>
      </c>
      <c r="V26" s="34">
        <f>'Input AC Report '!AO26</f>
        <v>0</v>
      </c>
      <c r="W26" s="4">
        <v>19</v>
      </c>
      <c r="AA26" s="4">
        <f>'Input AC Report '!CI26</f>
        <v>0</v>
      </c>
      <c r="AB26" s="4">
        <f>'Input AC Report '!GX26</f>
        <v>0</v>
      </c>
      <c r="AC26" s="4" t="str">
        <f>_xlfn.IFNA(VLOOKUP('Input AC Report '!CU26,Validation!G:J,2,FALSE),"")</f>
        <v/>
      </c>
      <c r="AD26" s="4">
        <f>'Input AC Report '!X26</f>
        <v>0</v>
      </c>
      <c r="AE26" s="4">
        <f>'Input AC Report '!V26</f>
        <v>0</v>
      </c>
      <c r="AF26" s="4">
        <f>'Input AC Report '!U26</f>
        <v>0</v>
      </c>
      <c r="AG26" s="34">
        <f>'Input AC Report '!S26</f>
        <v>0</v>
      </c>
      <c r="AH26" s="34">
        <f>'Input AC Report '!T26</f>
        <v>0</v>
      </c>
      <c r="AI26" s="4" t="str">
        <f>_xlfn.IFNA(VLOOKUP('Input AC Report '!J26,Validation!J:K,2,FALSE),"")</f>
        <v/>
      </c>
      <c r="AJ26" s="4" t="str">
        <f>MID('Input AC Report '!GX26,45,30)</f>
        <v/>
      </c>
      <c r="AK26" s="4" t="str">
        <f>MID('Input AC Report '!GP26,12,35)</f>
        <v/>
      </c>
      <c r="AM26" s="4">
        <f>'Input AC Report '!A26</f>
        <v>0</v>
      </c>
      <c r="AN26" s="4">
        <f>'Input AC Report '!A26</f>
        <v>0</v>
      </c>
    </row>
    <row r="27" s="4" customFormat="1" spans="1:40">
      <c r="A27" s="4">
        <f>'Input AC Report '!BL27</f>
        <v>0</v>
      </c>
      <c r="B27" s="4">
        <f>'Input AC Report '!G27</f>
        <v>0</v>
      </c>
      <c r="C27" s="4">
        <f>'Input AC Report '!GO27</f>
        <v>0</v>
      </c>
      <c r="D27" s="4" t="str">
        <f t="shared" si="0"/>
        <v>0</v>
      </c>
      <c r="E27" s="32" t="str">
        <f>_xlfn.IFNA(VLOOKUP('Input AC Report '!DU27,Validation!A:B,2,FALSE),"")</f>
        <v/>
      </c>
      <c r="F27" s="32" t="str">
        <f>_xlfn.IFNA(VLOOKUP('Input AC Report '!EQ27,Validation!A:B,2,FALSE),"")</f>
        <v/>
      </c>
      <c r="G27" s="33" t="str">
        <f>_xlfn.IFNA(VLOOKUP('Input AC Report '!I27,Validation!D:E,2,FALSE),"")</f>
        <v/>
      </c>
      <c r="H27" s="4" t="str">
        <f>LEFT('Input AC Report '!I27,2)</f>
        <v/>
      </c>
      <c r="I27" s="4">
        <f>'Input AC Report '!AS27</f>
        <v>0</v>
      </c>
      <c r="J27" s="4">
        <f>'Input AC Report '!AR27</f>
        <v>0</v>
      </c>
      <c r="K27" s="4">
        <f>'Input AC Report '!O27</f>
        <v>0</v>
      </c>
      <c r="L27" s="4">
        <f>'Input AC Report '!N27</f>
        <v>0</v>
      </c>
      <c r="M27" s="34">
        <f>'Input AC Report '!AB27</f>
        <v>0</v>
      </c>
      <c r="N27" s="4">
        <f>'Input AC Report '!W27</f>
        <v>0</v>
      </c>
      <c r="O27" s="4">
        <f>'Input AC Report '!AD27</f>
        <v>0</v>
      </c>
      <c r="P27" s="34">
        <f>'Input AC Report '!AE27</f>
        <v>0</v>
      </c>
      <c r="Q27" s="34">
        <f>'Input AC Report '!AH27</f>
        <v>0</v>
      </c>
      <c r="R27" s="34">
        <f>'Input AC Report '!AG27</f>
        <v>0</v>
      </c>
      <c r="S27" s="34">
        <f>'Input AC Report '!AP27</f>
        <v>0</v>
      </c>
      <c r="T27" s="34">
        <f>'Input AC Report '!AJ27</f>
        <v>0</v>
      </c>
      <c r="U27" s="34">
        <f>'Input AC Report '!AN27</f>
        <v>0</v>
      </c>
      <c r="V27" s="34">
        <f>'Input AC Report '!AO27</f>
        <v>0</v>
      </c>
      <c r="W27" s="4">
        <v>19</v>
      </c>
      <c r="AA27" s="4">
        <f>'Input AC Report '!CI27</f>
        <v>0</v>
      </c>
      <c r="AB27" s="4">
        <f>'Input AC Report '!GX27</f>
        <v>0</v>
      </c>
      <c r="AC27" s="4" t="str">
        <f>_xlfn.IFNA(VLOOKUP('Input AC Report '!CU27,Validation!G:J,2,FALSE),"")</f>
        <v/>
      </c>
      <c r="AD27" s="4">
        <f>'Input AC Report '!X27</f>
        <v>0</v>
      </c>
      <c r="AE27" s="4">
        <f>'Input AC Report '!V27</f>
        <v>0</v>
      </c>
      <c r="AF27" s="4">
        <f>'Input AC Report '!U27</f>
        <v>0</v>
      </c>
      <c r="AG27" s="34">
        <f>'Input AC Report '!S27</f>
        <v>0</v>
      </c>
      <c r="AH27" s="34">
        <f>'Input AC Report '!T27</f>
        <v>0</v>
      </c>
      <c r="AI27" s="4" t="str">
        <f>_xlfn.IFNA(VLOOKUP('Input AC Report '!J27,Validation!J:K,2,FALSE),"")</f>
        <v/>
      </c>
      <c r="AJ27" s="4" t="str">
        <f>MID('Input AC Report '!GX27,45,30)</f>
        <v/>
      </c>
      <c r="AK27" s="4" t="str">
        <f>MID('Input AC Report '!GP27,12,35)</f>
        <v/>
      </c>
      <c r="AM27" s="4">
        <f>'Input AC Report '!A27</f>
        <v>0</v>
      </c>
      <c r="AN27" s="4">
        <f>'Input AC Report '!A27</f>
        <v>0</v>
      </c>
    </row>
    <row r="28" s="4" customFormat="1" spans="1:40">
      <c r="A28" s="4">
        <f>'Input AC Report '!BL28</f>
        <v>0</v>
      </c>
      <c r="B28" s="4">
        <f>'Input AC Report '!G28</f>
        <v>0</v>
      </c>
      <c r="C28" s="4">
        <f>'Input AC Report '!GO28</f>
        <v>0</v>
      </c>
      <c r="D28" s="4" t="str">
        <f t="shared" si="0"/>
        <v>0</v>
      </c>
      <c r="E28" s="32" t="str">
        <f>_xlfn.IFNA(VLOOKUP('Input AC Report '!DU28,Validation!A:B,2,FALSE),"")</f>
        <v/>
      </c>
      <c r="F28" s="32" t="str">
        <f>_xlfn.IFNA(VLOOKUP('Input AC Report '!EQ28,Validation!A:B,2,FALSE),"")</f>
        <v/>
      </c>
      <c r="G28" s="33" t="str">
        <f>_xlfn.IFNA(VLOOKUP('Input AC Report '!I28,Validation!D:E,2,FALSE),"")</f>
        <v/>
      </c>
      <c r="H28" s="4" t="str">
        <f>LEFT('Input AC Report '!I28,2)</f>
        <v/>
      </c>
      <c r="I28" s="4">
        <f>'Input AC Report '!AS28</f>
        <v>0</v>
      </c>
      <c r="J28" s="4">
        <f>'Input AC Report '!AR28</f>
        <v>0</v>
      </c>
      <c r="K28" s="4">
        <f>'Input AC Report '!O28</f>
        <v>0</v>
      </c>
      <c r="L28" s="4">
        <f>'Input AC Report '!N28</f>
        <v>0</v>
      </c>
      <c r="M28" s="34">
        <f>'Input AC Report '!AB28</f>
        <v>0</v>
      </c>
      <c r="N28" s="4">
        <f>'Input AC Report '!W28</f>
        <v>0</v>
      </c>
      <c r="O28" s="4">
        <f>'Input AC Report '!AD28</f>
        <v>0</v>
      </c>
      <c r="P28" s="34">
        <f>'Input AC Report '!AE28</f>
        <v>0</v>
      </c>
      <c r="Q28" s="34">
        <f>'Input AC Report '!AH28</f>
        <v>0</v>
      </c>
      <c r="R28" s="34">
        <f>'Input AC Report '!AG28</f>
        <v>0</v>
      </c>
      <c r="S28" s="34">
        <f>'Input AC Report '!AP28</f>
        <v>0</v>
      </c>
      <c r="T28" s="34">
        <f>'Input AC Report '!AJ28</f>
        <v>0</v>
      </c>
      <c r="U28" s="34">
        <f>'Input AC Report '!AN28</f>
        <v>0</v>
      </c>
      <c r="V28" s="34">
        <f>'Input AC Report '!AO28</f>
        <v>0</v>
      </c>
      <c r="W28" s="4">
        <v>19</v>
      </c>
      <c r="AA28" s="4">
        <f>'Input AC Report '!CI28</f>
        <v>0</v>
      </c>
      <c r="AB28" s="4">
        <f>'Input AC Report '!GX28</f>
        <v>0</v>
      </c>
      <c r="AC28" s="4" t="str">
        <f>_xlfn.IFNA(VLOOKUP('Input AC Report '!CU28,Validation!G:J,2,FALSE),"")</f>
        <v/>
      </c>
      <c r="AD28" s="4">
        <f>'Input AC Report '!X28</f>
        <v>0</v>
      </c>
      <c r="AE28" s="4">
        <f>'Input AC Report '!V28</f>
        <v>0</v>
      </c>
      <c r="AF28" s="4">
        <f>'Input AC Report '!U28</f>
        <v>0</v>
      </c>
      <c r="AG28" s="34">
        <f>'Input AC Report '!S28</f>
        <v>0</v>
      </c>
      <c r="AH28" s="34">
        <f>'Input AC Report '!T28</f>
        <v>0</v>
      </c>
      <c r="AI28" s="4" t="str">
        <f>_xlfn.IFNA(VLOOKUP('Input AC Report '!J28,Validation!J:K,2,FALSE),"")</f>
        <v/>
      </c>
      <c r="AJ28" s="4" t="str">
        <f>MID('Input AC Report '!GX28,45,30)</f>
        <v/>
      </c>
      <c r="AK28" s="4" t="str">
        <f>MID('Input AC Report '!GP28,12,35)</f>
        <v/>
      </c>
      <c r="AM28" s="4">
        <f>'Input AC Report '!A28</f>
        <v>0</v>
      </c>
      <c r="AN28" s="4">
        <f>'Input AC Report '!A28</f>
        <v>0</v>
      </c>
    </row>
    <row r="29" s="4" customFormat="1" spans="1:40">
      <c r="A29" s="4">
        <f>'Input AC Report '!BL29</f>
        <v>0</v>
      </c>
      <c r="B29" s="4">
        <f>'Input AC Report '!G29</f>
        <v>0</v>
      </c>
      <c r="C29" s="4">
        <f>'Input AC Report '!GO29</f>
        <v>0</v>
      </c>
      <c r="D29" s="4" t="str">
        <f t="shared" si="0"/>
        <v>0</v>
      </c>
      <c r="E29" s="32" t="str">
        <f>_xlfn.IFNA(VLOOKUP('Input AC Report '!DU29,Validation!A:B,2,FALSE),"")</f>
        <v/>
      </c>
      <c r="F29" s="32" t="str">
        <f>_xlfn.IFNA(VLOOKUP('Input AC Report '!EQ29,Validation!A:B,2,FALSE),"")</f>
        <v/>
      </c>
      <c r="G29" s="33" t="str">
        <f>_xlfn.IFNA(VLOOKUP('Input AC Report '!I29,Validation!D:E,2,FALSE),"")</f>
        <v/>
      </c>
      <c r="H29" s="4" t="str">
        <f>LEFT('Input AC Report '!I29,2)</f>
        <v/>
      </c>
      <c r="I29" s="4">
        <f>'Input AC Report '!AS29</f>
        <v>0</v>
      </c>
      <c r="J29" s="4">
        <f>'Input AC Report '!AR29</f>
        <v>0</v>
      </c>
      <c r="K29" s="4">
        <f>'Input AC Report '!O29</f>
        <v>0</v>
      </c>
      <c r="L29" s="4">
        <f>'Input AC Report '!N29</f>
        <v>0</v>
      </c>
      <c r="M29" s="34">
        <f>'Input AC Report '!AB29</f>
        <v>0</v>
      </c>
      <c r="N29" s="4">
        <f>'Input AC Report '!W29</f>
        <v>0</v>
      </c>
      <c r="O29" s="4">
        <f>'Input AC Report '!AD29</f>
        <v>0</v>
      </c>
      <c r="P29" s="34">
        <f>'Input AC Report '!AE29</f>
        <v>0</v>
      </c>
      <c r="Q29" s="34">
        <f>'Input AC Report '!AH29</f>
        <v>0</v>
      </c>
      <c r="R29" s="34">
        <f>'Input AC Report '!AG29</f>
        <v>0</v>
      </c>
      <c r="S29" s="34">
        <f>'Input AC Report '!AP29</f>
        <v>0</v>
      </c>
      <c r="T29" s="34">
        <f>'Input AC Report '!AJ29</f>
        <v>0</v>
      </c>
      <c r="U29" s="34">
        <f>'Input AC Report '!AN29</f>
        <v>0</v>
      </c>
      <c r="V29" s="34">
        <f>'Input AC Report '!AO29</f>
        <v>0</v>
      </c>
      <c r="AA29" s="4">
        <f>'Input AC Report '!CI29</f>
        <v>0</v>
      </c>
      <c r="AB29" s="4">
        <f>'Input AC Report '!GX29</f>
        <v>0</v>
      </c>
      <c r="AC29" s="4" t="str">
        <f>_xlfn.IFNA(VLOOKUP('Input AC Report '!CU29,Validation!G:J,2,FALSE),"")</f>
        <v/>
      </c>
      <c r="AD29" s="4">
        <f>'Input AC Report '!X29</f>
        <v>0</v>
      </c>
      <c r="AE29" s="4">
        <f>'Input AC Report '!V29</f>
        <v>0</v>
      </c>
      <c r="AF29" s="4">
        <f>'Input AC Report '!U29</f>
        <v>0</v>
      </c>
      <c r="AG29" s="34">
        <f>'Input AC Report '!S29</f>
        <v>0</v>
      </c>
      <c r="AH29" s="34">
        <f>'Input AC Report '!T29</f>
        <v>0</v>
      </c>
      <c r="AI29" s="4" t="str">
        <f>_xlfn.IFNA(VLOOKUP('Input AC Report '!J29,Validation!J:K,2,FALSE),"")</f>
        <v/>
      </c>
      <c r="AJ29" s="4" t="str">
        <f>MID('Input AC Report '!GX29,45,30)</f>
        <v/>
      </c>
      <c r="AK29" s="4" t="str">
        <f>MID('Input AC Report '!GP29,12,35)</f>
        <v/>
      </c>
      <c r="AM29" s="4">
        <f>'Input AC Report '!A29</f>
        <v>0</v>
      </c>
      <c r="AN29" s="4">
        <f>'Input AC Report '!A29</f>
        <v>0</v>
      </c>
    </row>
    <row r="30" s="4" customFormat="1" spans="1:40">
      <c r="A30" s="4">
        <f>'Input AC Report '!BL30</f>
        <v>0</v>
      </c>
      <c r="B30" s="4">
        <f>'Input AC Report '!G30</f>
        <v>0</v>
      </c>
      <c r="C30" s="4">
        <f>'Input AC Report '!GO30</f>
        <v>0</v>
      </c>
      <c r="D30" s="4" t="str">
        <f t="shared" si="0"/>
        <v>0</v>
      </c>
      <c r="E30" s="32" t="str">
        <f>_xlfn.IFNA(VLOOKUP('Input AC Report '!DU30,Validation!A:B,2,FALSE),"")</f>
        <v/>
      </c>
      <c r="F30" s="32" t="str">
        <f>_xlfn.IFNA(VLOOKUP('Input AC Report '!EQ30,Validation!A:B,2,FALSE),"")</f>
        <v/>
      </c>
      <c r="G30" s="33" t="str">
        <f>_xlfn.IFNA(VLOOKUP('Input AC Report '!I30,Validation!D:E,2,FALSE),"")</f>
        <v/>
      </c>
      <c r="H30" s="4" t="str">
        <f>LEFT('Input AC Report '!I30,2)</f>
        <v/>
      </c>
      <c r="I30" s="4">
        <f>'Input AC Report '!AS30</f>
        <v>0</v>
      </c>
      <c r="J30" s="4">
        <f>'Input AC Report '!AR30</f>
        <v>0</v>
      </c>
      <c r="K30" s="4">
        <f>'Input AC Report '!O30</f>
        <v>0</v>
      </c>
      <c r="L30" s="4">
        <f>'Input AC Report '!N30</f>
        <v>0</v>
      </c>
      <c r="M30" s="34">
        <f>'Input AC Report '!AB30</f>
        <v>0</v>
      </c>
      <c r="N30" s="4">
        <f>'Input AC Report '!W30</f>
        <v>0</v>
      </c>
      <c r="O30" s="4">
        <f>'Input AC Report '!AD30</f>
        <v>0</v>
      </c>
      <c r="P30" s="34">
        <f>'Input AC Report '!AE30</f>
        <v>0</v>
      </c>
      <c r="Q30" s="34">
        <f>'Input AC Report '!AH30</f>
        <v>0</v>
      </c>
      <c r="R30" s="34">
        <f>'Input AC Report '!AG30</f>
        <v>0</v>
      </c>
      <c r="S30" s="34">
        <f>'Input AC Report '!AP30</f>
        <v>0</v>
      </c>
      <c r="T30" s="34">
        <f>'Input AC Report '!AJ30</f>
        <v>0</v>
      </c>
      <c r="U30" s="34">
        <f>'Input AC Report '!AN30</f>
        <v>0</v>
      </c>
      <c r="V30" s="34">
        <f>'Input AC Report '!AO30</f>
        <v>0</v>
      </c>
      <c r="AA30" s="4">
        <f>'Input AC Report '!CI30</f>
        <v>0</v>
      </c>
      <c r="AB30" s="4">
        <f>'Input AC Report '!GX30</f>
        <v>0</v>
      </c>
      <c r="AC30" s="4" t="str">
        <f>_xlfn.IFNA(VLOOKUP('Input AC Report '!CU30,Validation!G:J,2,FALSE),"")</f>
        <v/>
      </c>
      <c r="AD30" s="4">
        <f>'Input AC Report '!X30</f>
        <v>0</v>
      </c>
      <c r="AE30" s="4">
        <f>'Input AC Report '!V30</f>
        <v>0</v>
      </c>
      <c r="AF30" s="4">
        <f>'Input AC Report '!U30</f>
        <v>0</v>
      </c>
      <c r="AG30" s="34">
        <f>'Input AC Report '!S30</f>
        <v>0</v>
      </c>
      <c r="AH30" s="34">
        <f>'Input AC Report '!T30</f>
        <v>0</v>
      </c>
      <c r="AI30" s="4" t="str">
        <f>_xlfn.IFNA(VLOOKUP('Input AC Report '!J30,Validation!J:K,2,FALSE),"")</f>
        <v/>
      </c>
      <c r="AJ30" s="4" t="str">
        <f>MID('Input AC Report '!GX30,45,30)</f>
        <v/>
      </c>
      <c r="AK30" s="4" t="str">
        <f>MID('Input AC Report '!GP30,12,35)</f>
        <v/>
      </c>
      <c r="AM30" s="4">
        <f>'Input AC Report '!A30</f>
        <v>0</v>
      </c>
      <c r="AN30" s="4">
        <f>'Input AC Report '!A30</f>
        <v>0</v>
      </c>
    </row>
    <row r="31" s="4" customFormat="1" spans="1:40">
      <c r="A31" s="4">
        <f>'Input AC Report '!BL31</f>
        <v>0</v>
      </c>
      <c r="B31" s="4">
        <f>'Input AC Report '!G31</f>
        <v>0</v>
      </c>
      <c r="C31" s="4">
        <f>'Input AC Report '!GO31</f>
        <v>0</v>
      </c>
      <c r="D31" s="4" t="str">
        <f t="shared" si="0"/>
        <v>0</v>
      </c>
      <c r="E31" s="32" t="str">
        <f>_xlfn.IFNA(VLOOKUP('Input AC Report '!DU31,Validation!A:B,2,FALSE),"")</f>
        <v/>
      </c>
      <c r="F31" s="32" t="str">
        <f>_xlfn.IFNA(VLOOKUP('Input AC Report '!EQ31,Validation!A:B,2,FALSE),"")</f>
        <v/>
      </c>
      <c r="G31" s="33" t="str">
        <f>_xlfn.IFNA(VLOOKUP('Input AC Report '!I31,Validation!D:E,2,FALSE),"")</f>
        <v/>
      </c>
      <c r="H31" s="4" t="str">
        <f>LEFT('Input AC Report '!I31,2)</f>
        <v/>
      </c>
      <c r="I31" s="4">
        <f>'Input AC Report '!AS31</f>
        <v>0</v>
      </c>
      <c r="J31" s="4">
        <f>'Input AC Report '!AR31</f>
        <v>0</v>
      </c>
      <c r="K31" s="4">
        <f>'Input AC Report '!O31</f>
        <v>0</v>
      </c>
      <c r="L31" s="4">
        <f>'Input AC Report '!N31</f>
        <v>0</v>
      </c>
      <c r="M31" s="34">
        <f>'Input AC Report '!AB31</f>
        <v>0</v>
      </c>
      <c r="N31" s="4">
        <f>'Input AC Report '!W31</f>
        <v>0</v>
      </c>
      <c r="O31" s="4">
        <f>'Input AC Report '!AD31</f>
        <v>0</v>
      </c>
      <c r="P31" s="34">
        <f>'Input AC Report '!AE31</f>
        <v>0</v>
      </c>
      <c r="Q31" s="34">
        <f>'Input AC Report '!AH31</f>
        <v>0</v>
      </c>
      <c r="R31" s="34">
        <f>'Input AC Report '!AG31</f>
        <v>0</v>
      </c>
      <c r="S31" s="34">
        <f>'Input AC Report '!AP31</f>
        <v>0</v>
      </c>
      <c r="T31" s="34">
        <f>'Input AC Report '!AJ31</f>
        <v>0</v>
      </c>
      <c r="U31" s="34">
        <f>'Input AC Report '!AN31</f>
        <v>0</v>
      </c>
      <c r="V31" s="34">
        <f>'Input AC Report '!AO31</f>
        <v>0</v>
      </c>
      <c r="AA31" s="4">
        <f>'Input AC Report '!CI31</f>
        <v>0</v>
      </c>
      <c r="AB31" s="4">
        <f>'Input AC Report '!GX31</f>
        <v>0</v>
      </c>
      <c r="AC31" s="4" t="str">
        <f>_xlfn.IFNA(VLOOKUP('Input AC Report '!CU31,Validation!G:J,2,FALSE),"")</f>
        <v/>
      </c>
      <c r="AD31" s="4">
        <f>'Input AC Report '!X31</f>
        <v>0</v>
      </c>
      <c r="AE31" s="4">
        <f>'Input AC Report '!V31</f>
        <v>0</v>
      </c>
      <c r="AF31" s="4">
        <f>'Input AC Report '!U31</f>
        <v>0</v>
      </c>
      <c r="AG31" s="34">
        <f>'Input AC Report '!S31</f>
        <v>0</v>
      </c>
      <c r="AH31" s="34">
        <f>'Input AC Report '!T31</f>
        <v>0</v>
      </c>
      <c r="AI31" s="4" t="str">
        <f>_xlfn.IFNA(VLOOKUP('Input AC Report '!J31,Validation!J:K,2,FALSE),"")</f>
        <v/>
      </c>
      <c r="AJ31" s="4" t="str">
        <f>MID('Input AC Report '!GX31,45,30)</f>
        <v/>
      </c>
      <c r="AK31" s="4" t="str">
        <f>MID('Input AC Report '!GP31,12,35)</f>
        <v/>
      </c>
      <c r="AM31" s="4">
        <f>'Input AC Report '!A31</f>
        <v>0</v>
      </c>
      <c r="AN31" s="4">
        <f>'Input AC Report '!A31</f>
        <v>0</v>
      </c>
    </row>
    <row r="32" s="4" customFormat="1" spans="1:40">
      <c r="A32" s="4">
        <f>'Input AC Report '!BL32</f>
        <v>0</v>
      </c>
      <c r="B32" s="4">
        <f>'Input AC Report '!G32</f>
        <v>0</v>
      </c>
      <c r="C32" s="4">
        <f>'Input AC Report '!GO32</f>
        <v>0</v>
      </c>
      <c r="D32" s="4" t="str">
        <f t="shared" si="0"/>
        <v>0</v>
      </c>
      <c r="E32" s="32" t="str">
        <f>_xlfn.IFNA(VLOOKUP('Input AC Report '!DU32,Validation!A:B,2,FALSE),"")</f>
        <v/>
      </c>
      <c r="F32" s="32" t="str">
        <f>_xlfn.IFNA(VLOOKUP('Input AC Report '!EQ32,Validation!A:B,2,FALSE),"")</f>
        <v/>
      </c>
      <c r="G32" s="33" t="str">
        <f>_xlfn.IFNA(VLOOKUP('Input AC Report '!I32,Validation!D:E,2,FALSE),"")</f>
        <v/>
      </c>
      <c r="H32" s="4" t="str">
        <f>LEFT('Input AC Report '!I32,2)</f>
        <v/>
      </c>
      <c r="I32" s="4">
        <f>'Input AC Report '!AS32</f>
        <v>0</v>
      </c>
      <c r="J32" s="4">
        <f>'Input AC Report '!AR32</f>
        <v>0</v>
      </c>
      <c r="K32" s="4">
        <f>'Input AC Report '!O32</f>
        <v>0</v>
      </c>
      <c r="L32" s="4">
        <f>'Input AC Report '!N32</f>
        <v>0</v>
      </c>
      <c r="M32" s="34">
        <f>'Input AC Report '!AB32</f>
        <v>0</v>
      </c>
      <c r="N32" s="4">
        <f>'Input AC Report '!W32</f>
        <v>0</v>
      </c>
      <c r="O32" s="4">
        <f>'Input AC Report '!AD32</f>
        <v>0</v>
      </c>
      <c r="P32" s="34">
        <f>'Input AC Report '!AE32</f>
        <v>0</v>
      </c>
      <c r="Q32" s="34">
        <f>'Input AC Report '!AH32</f>
        <v>0</v>
      </c>
      <c r="R32" s="34">
        <f>'Input AC Report '!AG32</f>
        <v>0</v>
      </c>
      <c r="S32" s="34">
        <f>'Input AC Report '!AP32</f>
        <v>0</v>
      </c>
      <c r="T32" s="34">
        <f>'Input AC Report '!AJ32</f>
        <v>0</v>
      </c>
      <c r="U32" s="34">
        <f>'Input AC Report '!AN32</f>
        <v>0</v>
      </c>
      <c r="V32" s="34">
        <f>'Input AC Report '!AO32</f>
        <v>0</v>
      </c>
      <c r="AA32" s="4">
        <f>'Input AC Report '!CI32</f>
        <v>0</v>
      </c>
      <c r="AB32" s="4">
        <f>'Input AC Report '!GX32</f>
        <v>0</v>
      </c>
      <c r="AC32" s="4" t="str">
        <f>_xlfn.IFNA(VLOOKUP('Input AC Report '!CU32,Validation!G:J,2,FALSE),"")</f>
        <v/>
      </c>
      <c r="AD32" s="4">
        <f>'Input AC Report '!X32</f>
        <v>0</v>
      </c>
      <c r="AE32" s="4">
        <f>'Input AC Report '!V32</f>
        <v>0</v>
      </c>
      <c r="AF32" s="4">
        <f>'Input AC Report '!U32</f>
        <v>0</v>
      </c>
      <c r="AG32" s="34">
        <f>'Input AC Report '!S32</f>
        <v>0</v>
      </c>
      <c r="AH32" s="34">
        <f>'Input AC Report '!T32</f>
        <v>0</v>
      </c>
      <c r="AI32" s="4" t="str">
        <f>_xlfn.IFNA(VLOOKUP('Input AC Report '!J32,Validation!J:K,2,FALSE),"")</f>
        <v/>
      </c>
      <c r="AJ32" s="4" t="str">
        <f>MID('Input AC Report '!GX32,45,30)</f>
        <v/>
      </c>
      <c r="AK32" s="4" t="str">
        <f>MID('Input AC Report '!GP32,12,35)</f>
        <v/>
      </c>
      <c r="AM32" s="4">
        <f>'Input AC Report '!A32</f>
        <v>0</v>
      </c>
      <c r="AN32" s="4">
        <f>'Input AC Report '!A32</f>
        <v>0</v>
      </c>
    </row>
    <row r="33" s="4" customFormat="1" spans="1:40">
      <c r="A33" s="4">
        <f>'Input AC Report '!BL33</f>
        <v>0</v>
      </c>
      <c r="B33" s="4">
        <f>'Input AC Report '!G33</f>
        <v>0</v>
      </c>
      <c r="C33" s="4">
        <f>'Input AC Report '!GO33</f>
        <v>0</v>
      </c>
      <c r="D33" s="4" t="str">
        <f t="shared" si="0"/>
        <v>0</v>
      </c>
      <c r="E33" s="32" t="str">
        <f>_xlfn.IFNA(VLOOKUP('Input AC Report '!DU33,Validation!A:B,2,FALSE),"")</f>
        <v/>
      </c>
      <c r="F33" s="32" t="str">
        <f>_xlfn.IFNA(VLOOKUP('Input AC Report '!EQ33,Validation!A:B,2,FALSE),"")</f>
        <v/>
      </c>
      <c r="G33" s="33" t="str">
        <f>_xlfn.IFNA(VLOOKUP('Input AC Report '!I33,Validation!D:E,2,FALSE),"")</f>
        <v/>
      </c>
      <c r="H33" s="4" t="str">
        <f>LEFT('Input AC Report '!I33,2)</f>
        <v/>
      </c>
      <c r="I33" s="4">
        <f>'Input AC Report '!AS33</f>
        <v>0</v>
      </c>
      <c r="J33" s="4">
        <f>'Input AC Report '!AR33</f>
        <v>0</v>
      </c>
      <c r="K33" s="4">
        <f>'Input AC Report '!O33</f>
        <v>0</v>
      </c>
      <c r="L33" s="4">
        <f>'Input AC Report '!N33</f>
        <v>0</v>
      </c>
      <c r="M33" s="34">
        <f>'Input AC Report '!AB33</f>
        <v>0</v>
      </c>
      <c r="N33" s="4">
        <f>'Input AC Report '!W33</f>
        <v>0</v>
      </c>
      <c r="O33" s="4">
        <f>'Input AC Report '!AD33</f>
        <v>0</v>
      </c>
      <c r="P33" s="34">
        <f>'Input AC Report '!AE33</f>
        <v>0</v>
      </c>
      <c r="Q33" s="34">
        <f>'Input AC Report '!AH33</f>
        <v>0</v>
      </c>
      <c r="R33" s="34">
        <f>'Input AC Report '!AG33</f>
        <v>0</v>
      </c>
      <c r="S33" s="34">
        <f>'Input AC Report '!AP33</f>
        <v>0</v>
      </c>
      <c r="T33" s="34">
        <f>'Input AC Report '!AJ33</f>
        <v>0</v>
      </c>
      <c r="U33" s="34">
        <f>'Input AC Report '!AN33</f>
        <v>0</v>
      </c>
      <c r="V33" s="34">
        <f>'Input AC Report '!AO33</f>
        <v>0</v>
      </c>
      <c r="AA33" s="4">
        <f>'Input AC Report '!CI33</f>
        <v>0</v>
      </c>
      <c r="AB33" s="4">
        <f>'Input AC Report '!GX33</f>
        <v>0</v>
      </c>
      <c r="AC33" s="4" t="str">
        <f>_xlfn.IFNA(VLOOKUP('Input AC Report '!CU33,Validation!G:J,2,FALSE),"")</f>
        <v/>
      </c>
      <c r="AD33" s="4">
        <f>'Input AC Report '!X33</f>
        <v>0</v>
      </c>
      <c r="AE33" s="4">
        <f>'Input AC Report '!V33</f>
        <v>0</v>
      </c>
      <c r="AF33" s="4">
        <f>'Input AC Report '!U33</f>
        <v>0</v>
      </c>
      <c r="AG33" s="34">
        <f>'Input AC Report '!S33</f>
        <v>0</v>
      </c>
      <c r="AH33" s="34">
        <f>'Input AC Report '!T33</f>
        <v>0</v>
      </c>
      <c r="AI33" s="4" t="str">
        <f>_xlfn.IFNA(VLOOKUP('Input AC Report '!J33,Validation!J:K,2,FALSE),"")</f>
        <v/>
      </c>
      <c r="AJ33" s="4" t="str">
        <f>MID('Input AC Report '!GX33,45,30)</f>
        <v/>
      </c>
      <c r="AK33" s="4" t="str">
        <f>MID('Input AC Report '!GP33,12,35)</f>
        <v/>
      </c>
      <c r="AM33" s="4">
        <f>'Input AC Report '!A33</f>
        <v>0</v>
      </c>
      <c r="AN33" s="4">
        <f>'Input AC Report '!A33</f>
        <v>0</v>
      </c>
    </row>
    <row r="34" s="4" customFormat="1" spans="1:40">
      <c r="A34" s="4">
        <f>'Input AC Report '!BL34</f>
        <v>0</v>
      </c>
      <c r="B34" s="4">
        <f>'Input AC Report '!G34</f>
        <v>0</v>
      </c>
      <c r="C34" s="4">
        <f>'Input AC Report '!GO34</f>
        <v>0</v>
      </c>
      <c r="D34" s="4" t="str">
        <f t="shared" si="0"/>
        <v>0</v>
      </c>
      <c r="E34" s="32" t="str">
        <f>_xlfn.IFNA(VLOOKUP('Input AC Report '!DU34,Validation!A:B,2,FALSE),"")</f>
        <v/>
      </c>
      <c r="F34" s="32" t="str">
        <f>_xlfn.IFNA(VLOOKUP('Input AC Report '!EQ34,Validation!A:B,2,FALSE),"")</f>
        <v/>
      </c>
      <c r="G34" s="33" t="str">
        <f>_xlfn.IFNA(VLOOKUP('Input AC Report '!I34,Validation!D:E,2,FALSE),"")</f>
        <v/>
      </c>
      <c r="H34" s="4" t="str">
        <f>LEFT('Input AC Report '!I34,2)</f>
        <v/>
      </c>
      <c r="I34" s="4">
        <f>'Input AC Report '!AS34</f>
        <v>0</v>
      </c>
      <c r="J34" s="4">
        <f>'Input AC Report '!AR34</f>
        <v>0</v>
      </c>
      <c r="K34" s="4">
        <f>'Input AC Report '!O34</f>
        <v>0</v>
      </c>
      <c r="L34" s="4">
        <f>'Input AC Report '!N34</f>
        <v>0</v>
      </c>
      <c r="M34" s="34">
        <f>'Input AC Report '!AB34</f>
        <v>0</v>
      </c>
      <c r="N34" s="4">
        <f>'Input AC Report '!W34</f>
        <v>0</v>
      </c>
      <c r="O34" s="4">
        <f>'Input AC Report '!AD34</f>
        <v>0</v>
      </c>
      <c r="P34" s="34">
        <f>'Input AC Report '!AE34</f>
        <v>0</v>
      </c>
      <c r="Q34" s="34">
        <f>'Input AC Report '!AH34</f>
        <v>0</v>
      </c>
      <c r="R34" s="34">
        <f>'Input AC Report '!AG34</f>
        <v>0</v>
      </c>
      <c r="S34" s="34">
        <f>'Input AC Report '!AP34</f>
        <v>0</v>
      </c>
      <c r="T34" s="34">
        <f>'Input AC Report '!AJ34</f>
        <v>0</v>
      </c>
      <c r="U34" s="34">
        <f>'Input AC Report '!AN34</f>
        <v>0</v>
      </c>
      <c r="V34" s="34">
        <f>'Input AC Report '!AO34</f>
        <v>0</v>
      </c>
      <c r="AA34" s="4">
        <f>'Input AC Report '!CI34</f>
        <v>0</v>
      </c>
      <c r="AB34" s="4">
        <f>'Input AC Report '!GX34</f>
        <v>0</v>
      </c>
      <c r="AC34" s="4" t="str">
        <f>_xlfn.IFNA(VLOOKUP('Input AC Report '!CU34,Validation!G:J,2,FALSE),"")</f>
        <v/>
      </c>
      <c r="AD34" s="4">
        <f>'Input AC Report '!X34</f>
        <v>0</v>
      </c>
      <c r="AE34" s="4">
        <f>'Input AC Report '!V34</f>
        <v>0</v>
      </c>
      <c r="AF34" s="4">
        <f>'Input AC Report '!U34</f>
        <v>0</v>
      </c>
      <c r="AG34" s="34">
        <f>'Input AC Report '!S34</f>
        <v>0</v>
      </c>
      <c r="AH34" s="34">
        <f>'Input AC Report '!T34</f>
        <v>0</v>
      </c>
      <c r="AI34" s="4" t="str">
        <f>_xlfn.IFNA(VLOOKUP('Input AC Report '!J34,Validation!J:K,2,FALSE),"")</f>
        <v/>
      </c>
      <c r="AJ34" s="4" t="str">
        <f>MID('Input AC Report '!GX34,45,30)</f>
        <v/>
      </c>
      <c r="AK34" s="4" t="str">
        <f>MID('Input AC Report '!GP34,12,35)</f>
        <v/>
      </c>
      <c r="AM34" s="4">
        <f>'Input AC Report '!A34</f>
        <v>0</v>
      </c>
      <c r="AN34" s="4">
        <f>'Input AC Report '!A34</f>
        <v>0</v>
      </c>
    </row>
    <row r="35" s="4" customFormat="1" spans="1:40">
      <c r="A35" s="4">
        <f>'Input AC Report '!BL35</f>
        <v>0</v>
      </c>
      <c r="B35" s="4">
        <f>'Input AC Report '!G35</f>
        <v>0</v>
      </c>
      <c r="C35" s="4">
        <f>'Input AC Report '!GO35</f>
        <v>0</v>
      </c>
      <c r="D35" s="4" t="str">
        <f t="shared" si="0"/>
        <v>0</v>
      </c>
      <c r="E35" s="32" t="str">
        <f>_xlfn.IFNA(VLOOKUP('Input AC Report '!DU35,Validation!A:B,2,FALSE),"")</f>
        <v/>
      </c>
      <c r="F35" s="32" t="str">
        <f>_xlfn.IFNA(VLOOKUP('Input AC Report '!EQ35,Validation!A:B,2,FALSE),"")</f>
        <v/>
      </c>
      <c r="G35" s="33" t="str">
        <f>_xlfn.IFNA(VLOOKUP('Input AC Report '!I35,Validation!D:E,2,FALSE),"")</f>
        <v/>
      </c>
      <c r="H35" s="4" t="str">
        <f>LEFT('Input AC Report '!I35,2)</f>
        <v/>
      </c>
      <c r="I35" s="4">
        <f>'Input AC Report '!AS35</f>
        <v>0</v>
      </c>
      <c r="J35" s="4">
        <f>'Input AC Report '!AR35</f>
        <v>0</v>
      </c>
      <c r="K35" s="4">
        <f>'Input AC Report '!O35</f>
        <v>0</v>
      </c>
      <c r="L35" s="4">
        <f>'Input AC Report '!N35</f>
        <v>0</v>
      </c>
      <c r="M35" s="34">
        <f>'Input AC Report '!AB35</f>
        <v>0</v>
      </c>
      <c r="N35" s="4">
        <f>'Input AC Report '!W35</f>
        <v>0</v>
      </c>
      <c r="O35" s="4">
        <f>'Input AC Report '!AD35</f>
        <v>0</v>
      </c>
      <c r="P35" s="34">
        <f>'Input AC Report '!AE35</f>
        <v>0</v>
      </c>
      <c r="Q35" s="34">
        <f>'Input AC Report '!AH35</f>
        <v>0</v>
      </c>
      <c r="R35" s="34">
        <f>'Input AC Report '!AG35</f>
        <v>0</v>
      </c>
      <c r="S35" s="34">
        <f>'Input AC Report '!AP35</f>
        <v>0</v>
      </c>
      <c r="T35" s="34">
        <f>'Input AC Report '!AJ35</f>
        <v>0</v>
      </c>
      <c r="U35" s="34">
        <f>'Input AC Report '!AN35</f>
        <v>0</v>
      </c>
      <c r="V35" s="34">
        <f>'Input AC Report '!AO35</f>
        <v>0</v>
      </c>
      <c r="AA35" s="4">
        <f>'Input AC Report '!CI35</f>
        <v>0</v>
      </c>
      <c r="AB35" s="4">
        <f>'Input AC Report '!GX35</f>
        <v>0</v>
      </c>
      <c r="AC35" s="4" t="str">
        <f>_xlfn.IFNA(VLOOKUP('Input AC Report '!CU35,Validation!G:J,2,FALSE),"")</f>
        <v/>
      </c>
      <c r="AD35" s="4">
        <f>'Input AC Report '!X35</f>
        <v>0</v>
      </c>
      <c r="AE35" s="4">
        <f>'Input AC Report '!V35</f>
        <v>0</v>
      </c>
      <c r="AF35" s="4">
        <f>'Input AC Report '!U35</f>
        <v>0</v>
      </c>
      <c r="AG35" s="34">
        <f>'Input AC Report '!S35</f>
        <v>0</v>
      </c>
      <c r="AH35" s="34">
        <f>'Input AC Report '!T35</f>
        <v>0</v>
      </c>
      <c r="AI35" s="4" t="str">
        <f>_xlfn.IFNA(VLOOKUP('Input AC Report '!J35,Validation!J:K,2,FALSE),"")</f>
        <v/>
      </c>
      <c r="AJ35" s="4" t="str">
        <f>MID('Input AC Report '!GX35,45,30)</f>
        <v/>
      </c>
      <c r="AK35" s="4" t="str">
        <f>MID('Input AC Report '!GP35,12,35)</f>
        <v/>
      </c>
      <c r="AM35" s="4">
        <f>'Input AC Report '!A35</f>
        <v>0</v>
      </c>
      <c r="AN35" s="4">
        <f>'Input AC Report '!A35</f>
        <v>0</v>
      </c>
    </row>
    <row r="36" s="4" customFormat="1" spans="1:40">
      <c r="A36" s="4">
        <f>'Input AC Report '!BL36</f>
        <v>0</v>
      </c>
      <c r="B36" s="4">
        <f>'Input AC Report '!G36</f>
        <v>0</v>
      </c>
      <c r="C36" s="4">
        <f>'Input AC Report '!GO36</f>
        <v>0</v>
      </c>
      <c r="D36" s="4" t="str">
        <f t="shared" si="0"/>
        <v>0</v>
      </c>
      <c r="E36" s="32" t="str">
        <f>_xlfn.IFNA(VLOOKUP('Input AC Report '!DU36,Validation!A:B,2,FALSE),"")</f>
        <v/>
      </c>
      <c r="F36" s="32" t="str">
        <f>_xlfn.IFNA(VLOOKUP('Input AC Report '!EQ36,Validation!A:B,2,FALSE),"")</f>
        <v/>
      </c>
      <c r="G36" s="33" t="str">
        <f>_xlfn.IFNA(VLOOKUP('Input AC Report '!I36,Validation!D:E,2,FALSE),"")</f>
        <v/>
      </c>
      <c r="H36" s="4" t="str">
        <f>LEFT('Input AC Report '!I36,2)</f>
        <v/>
      </c>
      <c r="I36" s="4">
        <f>'Input AC Report '!AS36</f>
        <v>0</v>
      </c>
      <c r="J36" s="4">
        <f>'Input AC Report '!AR36</f>
        <v>0</v>
      </c>
      <c r="K36" s="4">
        <f>'Input AC Report '!O36</f>
        <v>0</v>
      </c>
      <c r="L36" s="4">
        <f>'Input AC Report '!N36</f>
        <v>0</v>
      </c>
      <c r="M36" s="34">
        <f>'Input AC Report '!AB36</f>
        <v>0</v>
      </c>
      <c r="N36" s="4">
        <f>'Input AC Report '!W36</f>
        <v>0</v>
      </c>
      <c r="O36" s="4">
        <f>'Input AC Report '!AD36</f>
        <v>0</v>
      </c>
      <c r="P36" s="34">
        <f>'Input AC Report '!AE36</f>
        <v>0</v>
      </c>
      <c r="Q36" s="34">
        <f>'Input AC Report '!AH36</f>
        <v>0</v>
      </c>
      <c r="R36" s="34">
        <f>'Input AC Report '!AG36</f>
        <v>0</v>
      </c>
      <c r="S36" s="34">
        <f>'Input AC Report '!AP36</f>
        <v>0</v>
      </c>
      <c r="T36" s="34">
        <f>'Input AC Report '!AJ36</f>
        <v>0</v>
      </c>
      <c r="U36" s="34">
        <f>'Input AC Report '!AN36</f>
        <v>0</v>
      </c>
      <c r="V36" s="34">
        <f>'Input AC Report '!AO36</f>
        <v>0</v>
      </c>
      <c r="AA36" s="4">
        <f>'Input AC Report '!CI36</f>
        <v>0</v>
      </c>
      <c r="AB36" s="4">
        <f>'Input AC Report '!GX36</f>
        <v>0</v>
      </c>
      <c r="AC36" s="4" t="str">
        <f>_xlfn.IFNA(VLOOKUP('Input AC Report '!CU36,Validation!G:J,2,FALSE),"")</f>
        <v/>
      </c>
      <c r="AD36" s="4">
        <f>'Input AC Report '!X36</f>
        <v>0</v>
      </c>
      <c r="AE36" s="4">
        <f>'Input AC Report '!V36</f>
        <v>0</v>
      </c>
      <c r="AF36" s="4">
        <f>'Input AC Report '!U36</f>
        <v>0</v>
      </c>
      <c r="AG36" s="34">
        <f>'Input AC Report '!S36</f>
        <v>0</v>
      </c>
      <c r="AH36" s="34">
        <f>'Input AC Report '!T36</f>
        <v>0</v>
      </c>
      <c r="AI36" s="4" t="str">
        <f>_xlfn.IFNA(VLOOKUP('Input AC Report '!J36,Validation!J:K,2,FALSE),"")</f>
        <v/>
      </c>
      <c r="AJ36" s="4" t="str">
        <f>MID('Input AC Report '!GX36,45,30)</f>
        <v/>
      </c>
      <c r="AK36" s="4" t="str">
        <f>MID('Input AC Report '!GP36,12,35)</f>
        <v/>
      </c>
      <c r="AM36" s="4">
        <f>'Input AC Report '!A36</f>
        <v>0</v>
      </c>
      <c r="AN36" s="4">
        <f>'Input AC Report '!A36</f>
        <v>0</v>
      </c>
    </row>
    <row r="37" s="4" customFormat="1" spans="1:40">
      <c r="A37" s="4">
        <f>'Input AC Report '!BL37</f>
        <v>0</v>
      </c>
      <c r="B37" s="4">
        <f>'Input AC Report '!G37</f>
        <v>0</v>
      </c>
      <c r="C37" s="4">
        <f>'Input AC Report '!GO37</f>
        <v>0</v>
      </c>
      <c r="D37" s="4" t="str">
        <f t="shared" si="0"/>
        <v>0</v>
      </c>
      <c r="E37" s="32" t="str">
        <f>_xlfn.IFNA(VLOOKUP('Input AC Report '!DU37,Validation!A:B,2,FALSE),"")</f>
        <v/>
      </c>
      <c r="F37" s="32" t="str">
        <f>_xlfn.IFNA(VLOOKUP('Input AC Report '!EQ37,Validation!A:B,2,FALSE),"")</f>
        <v/>
      </c>
      <c r="G37" s="33" t="str">
        <f>_xlfn.IFNA(VLOOKUP('Input AC Report '!I37,Validation!D:E,2,FALSE),"")</f>
        <v/>
      </c>
      <c r="H37" s="4" t="str">
        <f>LEFT('Input AC Report '!I37,2)</f>
        <v/>
      </c>
      <c r="I37" s="4">
        <f>'Input AC Report '!AS37</f>
        <v>0</v>
      </c>
      <c r="J37" s="4">
        <f>'Input AC Report '!AR37</f>
        <v>0</v>
      </c>
      <c r="K37" s="4">
        <f>'Input AC Report '!O37</f>
        <v>0</v>
      </c>
      <c r="L37" s="4">
        <f>'Input AC Report '!N37</f>
        <v>0</v>
      </c>
      <c r="M37" s="34">
        <f>'Input AC Report '!AB37</f>
        <v>0</v>
      </c>
      <c r="N37" s="4">
        <f>'Input AC Report '!W37</f>
        <v>0</v>
      </c>
      <c r="O37" s="4">
        <f>'Input AC Report '!AD37</f>
        <v>0</v>
      </c>
      <c r="P37" s="34">
        <f>'Input AC Report '!AE37</f>
        <v>0</v>
      </c>
      <c r="Q37" s="34">
        <f>'Input AC Report '!AH37</f>
        <v>0</v>
      </c>
      <c r="R37" s="34">
        <f>'Input AC Report '!AG37</f>
        <v>0</v>
      </c>
      <c r="S37" s="34">
        <f>'Input AC Report '!AP37</f>
        <v>0</v>
      </c>
      <c r="T37" s="34">
        <f>'Input AC Report '!AJ37</f>
        <v>0</v>
      </c>
      <c r="U37" s="34">
        <f>'Input AC Report '!AN37</f>
        <v>0</v>
      </c>
      <c r="V37" s="34">
        <f>'Input AC Report '!AO37</f>
        <v>0</v>
      </c>
      <c r="AA37" s="4">
        <f>'Input AC Report '!CI37</f>
        <v>0</v>
      </c>
      <c r="AB37" s="4">
        <f>'Input AC Report '!GX37</f>
        <v>0</v>
      </c>
      <c r="AC37" s="4" t="str">
        <f>_xlfn.IFNA(VLOOKUP('Input AC Report '!CU37,Validation!G:J,2,FALSE),"")</f>
        <v/>
      </c>
      <c r="AD37" s="4">
        <f>'Input AC Report '!X37</f>
        <v>0</v>
      </c>
      <c r="AE37" s="4">
        <f>'Input AC Report '!V37</f>
        <v>0</v>
      </c>
      <c r="AF37" s="4">
        <f>'Input AC Report '!U37</f>
        <v>0</v>
      </c>
      <c r="AG37" s="34">
        <f>'Input AC Report '!S37</f>
        <v>0</v>
      </c>
      <c r="AH37" s="34">
        <f>'Input AC Report '!T37</f>
        <v>0</v>
      </c>
      <c r="AI37" s="4" t="str">
        <f>_xlfn.IFNA(VLOOKUP('Input AC Report '!J37,Validation!J:K,2,FALSE),"")</f>
        <v/>
      </c>
      <c r="AJ37" s="4" t="str">
        <f>MID('Input AC Report '!GX37,45,30)</f>
        <v/>
      </c>
      <c r="AK37" s="4" t="str">
        <f>MID('Input AC Report '!GP37,12,35)</f>
        <v/>
      </c>
      <c r="AM37" s="4">
        <f>'Input AC Report '!A37</f>
        <v>0</v>
      </c>
      <c r="AN37" s="4">
        <f>'Input AC Report '!A37</f>
        <v>0</v>
      </c>
    </row>
    <row r="38" s="4" customFormat="1" spans="1:40">
      <c r="A38" s="4">
        <f>'Input AC Report '!BL38</f>
        <v>0</v>
      </c>
      <c r="B38" s="4">
        <f>'Input AC Report '!G38</f>
        <v>0</v>
      </c>
      <c r="C38" s="4">
        <f>'Input AC Report '!GO38</f>
        <v>0</v>
      </c>
      <c r="D38" s="4" t="str">
        <f t="shared" si="0"/>
        <v>0</v>
      </c>
      <c r="E38" s="32" t="str">
        <f>_xlfn.IFNA(VLOOKUP('Input AC Report '!DU38,Validation!A:B,2,FALSE),"")</f>
        <v/>
      </c>
      <c r="F38" s="32" t="str">
        <f>_xlfn.IFNA(VLOOKUP('Input AC Report '!EQ38,Validation!A:B,2,FALSE),"")</f>
        <v/>
      </c>
      <c r="G38" s="33" t="str">
        <f>_xlfn.IFNA(VLOOKUP('Input AC Report '!I38,Validation!D:E,2,FALSE),"")</f>
        <v/>
      </c>
      <c r="H38" s="4" t="str">
        <f>LEFT('Input AC Report '!I38,2)</f>
        <v/>
      </c>
      <c r="I38" s="4">
        <f>'Input AC Report '!AS38</f>
        <v>0</v>
      </c>
      <c r="J38" s="4">
        <f>'Input AC Report '!AR38</f>
        <v>0</v>
      </c>
      <c r="K38" s="4">
        <f>'Input AC Report '!O38</f>
        <v>0</v>
      </c>
      <c r="L38" s="4">
        <f>'Input AC Report '!N38</f>
        <v>0</v>
      </c>
      <c r="M38" s="34">
        <f>'Input AC Report '!AB38</f>
        <v>0</v>
      </c>
      <c r="N38" s="4">
        <f>'Input AC Report '!W38</f>
        <v>0</v>
      </c>
      <c r="O38" s="4">
        <f>'Input AC Report '!AD38</f>
        <v>0</v>
      </c>
      <c r="P38" s="34">
        <f>'Input AC Report '!AE38</f>
        <v>0</v>
      </c>
      <c r="Q38" s="34">
        <f>'Input AC Report '!AH38</f>
        <v>0</v>
      </c>
      <c r="R38" s="34">
        <f>'Input AC Report '!AG38</f>
        <v>0</v>
      </c>
      <c r="S38" s="34">
        <f>'Input AC Report '!AP38</f>
        <v>0</v>
      </c>
      <c r="T38" s="34">
        <f>'Input AC Report '!AJ38</f>
        <v>0</v>
      </c>
      <c r="U38" s="34">
        <f>'Input AC Report '!AN38</f>
        <v>0</v>
      </c>
      <c r="V38" s="34">
        <f>'Input AC Report '!AO38</f>
        <v>0</v>
      </c>
      <c r="AA38" s="4">
        <f>'Input AC Report '!CI38</f>
        <v>0</v>
      </c>
      <c r="AB38" s="4">
        <f>'Input AC Report '!GX38</f>
        <v>0</v>
      </c>
      <c r="AC38" s="4" t="str">
        <f>_xlfn.IFNA(VLOOKUP('Input AC Report '!CU38,Validation!G:J,2,FALSE),"")</f>
        <v/>
      </c>
      <c r="AD38" s="4">
        <f>'Input AC Report '!X38</f>
        <v>0</v>
      </c>
      <c r="AE38" s="4">
        <f>'Input AC Report '!V38</f>
        <v>0</v>
      </c>
      <c r="AF38" s="4">
        <f>'Input AC Report '!U38</f>
        <v>0</v>
      </c>
      <c r="AG38" s="34">
        <f>'Input AC Report '!S38</f>
        <v>0</v>
      </c>
      <c r="AH38" s="34">
        <f>'Input AC Report '!T38</f>
        <v>0</v>
      </c>
      <c r="AI38" s="4" t="str">
        <f>_xlfn.IFNA(VLOOKUP('Input AC Report '!J38,Validation!J:K,2,FALSE),"")</f>
        <v/>
      </c>
      <c r="AJ38" s="4" t="str">
        <f>MID('Input AC Report '!GX38,45,30)</f>
        <v/>
      </c>
      <c r="AK38" s="4" t="str">
        <f>MID('Input AC Report '!GP38,12,35)</f>
        <v/>
      </c>
      <c r="AM38" s="4">
        <f>'Input AC Report '!A38</f>
        <v>0</v>
      </c>
      <c r="AN38" s="4">
        <f>'Input AC Report '!A38</f>
        <v>0</v>
      </c>
    </row>
    <row r="39" s="4" customFormat="1" spans="1:40">
      <c r="A39" s="4">
        <f>'Input AC Report '!BL39</f>
        <v>0</v>
      </c>
      <c r="B39" s="4">
        <f>'Input AC Report '!G39</f>
        <v>0</v>
      </c>
      <c r="C39" s="4">
        <f>'Input AC Report '!GO39</f>
        <v>0</v>
      </c>
      <c r="D39" s="4" t="str">
        <f t="shared" si="0"/>
        <v>0</v>
      </c>
      <c r="E39" s="32" t="str">
        <f>_xlfn.IFNA(VLOOKUP('Input AC Report '!DU39,Validation!A:B,2,FALSE),"")</f>
        <v/>
      </c>
      <c r="F39" s="32" t="str">
        <f>_xlfn.IFNA(VLOOKUP('Input AC Report '!EQ39,Validation!A:B,2,FALSE),"")</f>
        <v/>
      </c>
      <c r="G39" s="33" t="str">
        <f>_xlfn.IFNA(VLOOKUP('Input AC Report '!I39,Validation!D:E,2,FALSE),"")</f>
        <v/>
      </c>
      <c r="H39" s="4" t="str">
        <f>LEFT('Input AC Report '!I39,2)</f>
        <v/>
      </c>
      <c r="I39" s="4">
        <f>'Input AC Report '!AS39</f>
        <v>0</v>
      </c>
      <c r="J39" s="4">
        <f>'Input AC Report '!AR39</f>
        <v>0</v>
      </c>
      <c r="K39" s="4">
        <f>'Input AC Report '!O39</f>
        <v>0</v>
      </c>
      <c r="L39" s="4">
        <f>'Input AC Report '!N39</f>
        <v>0</v>
      </c>
      <c r="M39" s="34">
        <f>'Input AC Report '!AB39</f>
        <v>0</v>
      </c>
      <c r="N39" s="4">
        <f>'Input AC Report '!W39</f>
        <v>0</v>
      </c>
      <c r="O39" s="4">
        <f>'Input AC Report '!AD39</f>
        <v>0</v>
      </c>
      <c r="P39" s="34">
        <f>'Input AC Report '!AE39</f>
        <v>0</v>
      </c>
      <c r="Q39" s="34">
        <f>'Input AC Report '!AH39</f>
        <v>0</v>
      </c>
      <c r="R39" s="34">
        <f>'Input AC Report '!AG39</f>
        <v>0</v>
      </c>
      <c r="S39" s="34">
        <f>'Input AC Report '!AP39</f>
        <v>0</v>
      </c>
      <c r="T39" s="34">
        <f>'Input AC Report '!AJ39</f>
        <v>0</v>
      </c>
      <c r="U39" s="34">
        <f>'Input AC Report '!AN39</f>
        <v>0</v>
      </c>
      <c r="V39" s="34">
        <f>'Input AC Report '!AO39</f>
        <v>0</v>
      </c>
      <c r="AA39" s="4">
        <f>'Input AC Report '!CI39</f>
        <v>0</v>
      </c>
      <c r="AB39" s="4">
        <f>'Input AC Report '!GX39</f>
        <v>0</v>
      </c>
      <c r="AC39" s="4" t="str">
        <f>_xlfn.IFNA(VLOOKUP('Input AC Report '!CU39,Validation!G:J,2,FALSE),"")</f>
        <v/>
      </c>
      <c r="AD39" s="4">
        <f>'Input AC Report '!X39</f>
        <v>0</v>
      </c>
      <c r="AE39" s="4">
        <f>'Input AC Report '!V39</f>
        <v>0</v>
      </c>
      <c r="AF39" s="4">
        <f>'Input AC Report '!U39</f>
        <v>0</v>
      </c>
      <c r="AG39" s="34">
        <f>'Input AC Report '!S39</f>
        <v>0</v>
      </c>
      <c r="AH39" s="34">
        <f>'Input AC Report '!T39</f>
        <v>0</v>
      </c>
      <c r="AI39" s="4" t="str">
        <f>_xlfn.IFNA(VLOOKUP('Input AC Report '!J39,Validation!J:K,2,FALSE),"")</f>
        <v/>
      </c>
      <c r="AJ39" s="4" t="str">
        <f>MID('Input AC Report '!GX39,45,30)</f>
        <v/>
      </c>
      <c r="AK39" s="4" t="str">
        <f>MID('Input AC Report '!GP39,12,35)</f>
        <v/>
      </c>
      <c r="AM39" s="4">
        <f>'Input AC Report '!A39</f>
        <v>0</v>
      </c>
      <c r="AN39" s="4">
        <f>'Input AC Report '!A39</f>
        <v>0</v>
      </c>
    </row>
    <row r="40" s="4" customFormat="1" spans="1:40">
      <c r="A40" s="4">
        <f>'Input AC Report '!BL40</f>
        <v>0</v>
      </c>
      <c r="B40" s="4">
        <f>'Input AC Report '!G40</f>
        <v>0</v>
      </c>
      <c r="C40" s="4">
        <f>'Input AC Report '!GO40</f>
        <v>0</v>
      </c>
      <c r="D40" s="4" t="str">
        <f t="shared" si="0"/>
        <v>0</v>
      </c>
      <c r="E40" s="32" t="str">
        <f>_xlfn.IFNA(VLOOKUP('Input AC Report '!DU40,Validation!A:B,2,FALSE),"")</f>
        <v/>
      </c>
      <c r="F40" s="32" t="str">
        <f>_xlfn.IFNA(VLOOKUP('Input AC Report '!EQ40,Validation!A:B,2,FALSE),"")</f>
        <v/>
      </c>
      <c r="G40" s="33" t="str">
        <f>_xlfn.IFNA(VLOOKUP('Input AC Report '!I40,Validation!D:E,2,FALSE),"")</f>
        <v/>
      </c>
      <c r="H40" s="4" t="str">
        <f>LEFT('Input AC Report '!I40,2)</f>
        <v/>
      </c>
      <c r="I40" s="4">
        <f>'Input AC Report '!AS40</f>
        <v>0</v>
      </c>
      <c r="J40" s="4">
        <f>'Input AC Report '!AR40</f>
        <v>0</v>
      </c>
      <c r="K40" s="4">
        <f>'Input AC Report '!O40</f>
        <v>0</v>
      </c>
      <c r="L40" s="4">
        <f>'Input AC Report '!N40</f>
        <v>0</v>
      </c>
      <c r="M40" s="34">
        <f>'Input AC Report '!AB40</f>
        <v>0</v>
      </c>
      <c r="N40" s="4">
        <f>'Input AC Report '!W40</f>
        <v>0</v>
      </c>
      <c r="O40" s="4">
        <f>'Input AC Report '!AD40</f>
        <v>0</v>
      </c>
      <c r="P40" s="34">
        <f>'Input AC Report '!AE40</f>
        <v>0</v>
      </c>
      <c r="Q40" s="34">
        <f>'Input AC Report '!AH40</f>
        <v>0</v>
      </c>
      <c r="R40" s="34">
        <f>'Input AC Report '!AG40</f>
        <v>0</v>
      </c>
      <c r="S40" s="34">
        <f>'Input AC Report '!AP40</f>
        <v>0</v>
      </c>
      <c r="T40" s="34">
        <f>'Input AC Report '!AJ40</f>
        <v>0</v>
      </c>
      <c r="U40" s="34">
        <f>'Input AC Report '!AN40</f>
        <v>0</v>
      </c>
      <c r="V40" s="34">
        <f>'Input AC Report '!AO40</f>
        <v>0</v>
      </c>
      <c r="AA40" s="4">
        <f>'Input AC Report '!CI40</f>
        <v>0</v>
      </c>
      <c r="AB40" s="4">
        <f>'Input AC Report '!GX40</f>
        <v>0</v>
      </c>
      <c r="AC40" s="4" t="str">
        <f>_xlfn.IFNA(VLOOKUP('Input AC Report '!CU40,Validation!G:J,2,FALSE),"")</f>
        <v/>
      </c>
      <c r="AD40" s="4">
        <f>'Input AC Report '!X40</f>
        <v>0</v>
      </c>
      <c r="AE40" s="4">
        <f>'Input AC Report '!V40</f>
        <v>0</v>
      </c>
      <c r="AF40" s="4">
        <f>'Input AC Report '!U40</f>
        <v>0</v>
      </c>
      <c r="AG40" s="34">
        <f>'Input AC Report '!S40</f>
        <v>0</v>
      </c>
      <c r="AH40" s="34">
        <f>'Input AC Report '!T40</f>
        <v>0</v>
      </c>
      <c r="AI40" s="4" t="str">
        <f>_xlfn.IFNA(VLOOKUP('Input AC Report '!J40,Validation!J:K,2,FALSE),"")</f>
        <v/>
      </c>
      <c r="AJ40" s="4" t="str">
        <f>MID('Input AC Report '!GX40,45,30)</f>
        <v/>
      </c>
      <c r="AK40" s="4" t="str">
        <f>MID('Input AC Report '!GP40,12,35)</f>
        <v/>
      </c>
      <c r="AM40" s="4">
        <f>'Input AC Report '!A40</f>
        <v>0</v>
      </c>
      <c r="AN40" s="4">
        <f>'Input AC Report '!A40</f>
        <v>0</v>
      </c>
    </row>
    <row r="41" s="4" customFormat="1" spans="1:40">
      <c r="A41" s="4">
        <f>'Input AC Report '!BL41</f>
        <v>0</v>
      </c>
      <c r="B41" s="4">
        <f>'Input AC Report '!G41</f>
        <v>0</v>
      </c>
      <c r="C41" s="4">
        <f>'Input AC Report '!GO41</f>
        <v>0</v>
      </c>
      <c r="D41" s="4" t="str">
        <f t="shared" si="0"/>
        <v>0</v>
      </c>
      <c r="E41" s="32" t="str">
        <f>_xlfn.IFNA(VLOOKUP('Input AC Report '!DU41,Validation!A:B,2,FALSE),"")</f>
        <v/>
      </c>
      <c r="F41" s="32" t="str">
        <f>_xlfn.IFNA(VLOOKUP('Input AC Report '!EQ41,Validation!A:B,2,FALSE),"")</f>
        <v/>
      </c>
      <c r="G41" s="33" t="str">
        <f>_xlfn.IFNA(VLOOKUP('Input AC Report '!I41,Validation!D:E,2,FALSE),"")</f>
        <v/>
      </c>
      <c r="H41" s="4" t="str">
        <f>LEFT('Input AC Report '!I41,2)</f>
        <v/>
      </c>
      <c r="I41" s="4">
        <f>'Input AC Report '!AS41</f>
        <v>0</v>
      </c>
      <c r="J41" s="4">
        <f>'Input AC Report '!AR41</f>
        <v>0</v>
      </c>
      <c r="K41" s="4">
        <f>'Input AC Report '!O41</f>
        <v>0</v>
      </c>
      <c r="L41" s="4">
        <f>'Input AC Report '!N41</f>
        <v>0</v>
      </c>
      <c r="M41" s="34">
        <f>'Input AC Report '!AB41</f>
        <v>0</v>
      </c>
      <c r="N41" s="4">
        <f>'Input AC Report '!W41</f>
        <v>0</v>
      </c>
      <c r="O41" s="4">
        <f>'Input AC Report '!AD41</f>
        <v>0</v>
      </c>
      <c r="P41" s="34">
        <f>'Input AC Report '!AE41</f>
        <v>0</v>
      </c>
      <c r="Q41" s="34">
        <f>'Input AC Report '!AH41</f>
        <v>0</v>
      </c>
      <c r="R41" s="34">
        <f>'Input AC Report '!AG41</f>
        <v>0</v>
      </c>
      <c r="S41" s="34">
        <f>'Input AC Report '!AP41</f>
        <v>0</v>
      </c>
      <c r="T41" s="34">
        <f>'Input AC Report '!AJ41</f>
        <v>0</v>
      </c>
      <c r="U41" s="34">
        <f>'Input AC Report '!AN41</f>
        <v>0</v>
      </c>
      <c r="V41" s="34">
        <f>'Input AC Report '!AO41</f>
        <v>0</v>
      </c>
      <c r="AA41" s="4">
        <f>'Input AC Report '!CI41</f>
        <v>0</v>
      </c>
      <c r="AB41" s="4">
        <f>'Input AC Report '!GX41</f>
        <v>0</v>
      </c>
      <c r="AC41" s="4" t="str">
        <f>_xlfn.IFNA(VLOOKUP('Input AC Report '!CU41,Validation!G:J,2,FALSE),"")</f>
        <v/>
      </c>
      <c r="AD41" s="4">
        <f>'Input AC Report '!X41</f>
        <v>0</v>
      </c>
      <c r="AE41" s="4">
        <f>'Input AC Report '!V41</f>
        <v>0</v>
      </c>
      <c r="AF41" s="4">
        <f>'Input AC Report '!U41</f>
        <v>0</v>
      </c>
      <c r="AG41" s="34">
        <f>'Input AC Report '!S41</f>
        <v>0</v>
      </c>
      <c r="AH41" s="34">
        <f>'Input AC Report '!T41</f>
        <v>0</v>
      </c>
      <c r="AI41" s="4" t="str">
        <f>_xlfn.IFNA(VLOOKUP('Input AC Report '!J41,Validation!J:K,2,FALSE),"")</f>
        <v/>
      </c>
      <c r="AJ41" s="4" t="str">
        <f>MID('Input AC Report '!GX41,45,30)</f>
        <v/>
      </c>
      <c r="AK41" s="4" t="str">
        <f>MID('Input AC Report '!GP41,12,35)</f>
        <v/>
      </c>
      <c r="AM41" s="4">
        <f>'Input AC Report '!A41</f>
        <v>0</v>
      </c>
      <c r="AN41" s="4">
        <f>'Input AC Report '!A41</f>
        <v>0</v>
      </c>
    </row>
    <row r="42" s="4" customFormat="1" spans="1:40">
      <c r="A42" s="4">
        <f>'Input AC Report '!BL42</f>
        <v>0</v>
      </c>
      <c r="B42" s="4">
        <f>'Input AC Report '!G42</f>
        <v>0</v>
      </c>
      <c r="C42" s="4">
        <f>'Input AC Report '!GO42</f>
        <v>0</v>
      </c>
      <c r="D42" s="4" t="str">
        <f t="shared" si="0"/>
        <v>0</v>
      </c>
      <c r="E42" s="32" t="str">
        <f>_xlfn.IFNA(VLOOKUP('Input AC Report '!DU42,Validation!A:B,2,FALSE),"")</f>
        <v/>
      </c>
      <c r="F42" s="32" t="str">
        <f>_xlfn.IFNA(VLOOKUP('Input AC Report '!EQ42,Validation!A:B,2,FALSE),"")</f>
        <v/>
      </c>
      <c r="G42" s="33" t="str">
        <f>_xlfn.IFNA(VLOOKUP('Input AC Report '!I42,Validation!D:E,2,FALSE),"")</f>
        <v/>
      </c>
      <c r="H42" s="4" t="str">
        <f>LEFT('Input AC Report '!I42,2)</f>
        <v/>
      </c>
      <c r="I42" s="4">
        <f>'Input AC Report '!AS42</f>
        <v>0</v>
      </c>
      <c r="J42" s="4">
        <f>'Input AC Report '!AR42</f>
        <v>0</v>
      </c>
      <c r="K42" s="4">
        <f>'Input AC Report '!O42</f>
        <v>0</v>
      </c>
      <c r="L42" s="4">
        <f>'Input AC Report '!N42</f>
        <v>0</v>
      </c>
      <c r="M42" s="34">
        <f>'Input AC Report '!AB42</f>
        <v>0</v>
      </c>
      <c r="N42" s="4">
        <f>'Input AC Report '!W42</f>
        <v>0</v>
      </c>
      <c r="O42" s="4">
        <f>'Input AC Report '!AD42</f>
        <v>0</v>
      </c>
      <c r="P42" s="34">
        <f>'Input AC Report '!AE42</f>
        <v>0</v>
      </c>
      <c r="Q42" s="34">
        <f>'Input AC Report '!AH42</f>
        <v>0</v>
      </c>
      <c r="R42" s="34">
        <f>'Input AC Report '!AG42</f>
        <v>0</v>
      </c>
      <c r="S42" s="34">
        <f>'Input AC Report '!AP42</f>
        <v>0</v>
      </c>
      <c r="T42" s="34">
        <f>'Input AC Report '!AJ42</f>
        <v>0</v>
      </c>
      <c r="U42" s="34">
        <f>'Input AC Report '!AN42</f>
        <v>0</v>
      </c>
      <c r="V42" s="34">
        <f>'Input AC Report '!AO42</f>
        <v>0</v>
      </c>
      <c r="AA42" s="4">
        <f>'Input AC Report '!CI42</f>
        <v>0</v>
      </c>
      <c r="AB42" s="4">
        <f>'Input AC Report '!GX42</f>
        <v>0</v>
      </c>
      <c r="AC42" s="4" t="str">
        <f>_xlfn.IFNA(VLOOKUP('Input AC Report '!CU42,Validation!G:J,2,FALSE),"")</f>
        <v/>
      </c>
      <c r="AD42" s="4">
        <f>'Input AC Report '!X42</f>
        <v>0</v>
      </c>
      <c r="AE42" s="4">
        <f>'Input AC Report '!V42</f>
        <v>0</v>
      </c>
      <c r="AF42" s="4">
        <f>'Input AC Report '!U42</f>
        <v>0</v>
      </c>
      <c r="AG42" s="34">
        <f>'Input AC Report '!S42</f>
        <v>0</v>
      </c>
      <c r="AH42" s="34">
        <f>'Input AC Report '!T42</f>
        <v>0</v>
      </c>
      <c r="AI42" s="4" t="str">
        <f>_xlfn.IFNA(VLOOKUP('Input AC Report '!J42,Validation!J:K,2,FALSE),"")</f>
        <v/>
      </c>
      <c r="AJ42" s="4" t="str">
        <f>MID('Input AC Report '!GX42,45,30)</f>
        <v/>
      </c>
      <c r="AK42" s="4" t="str">
        <f>MID('Input AC Report '!GP42,12,35)</f>
        <v/>
      </c>
      <c r="AM42" s="4">
        <f>'Input AC Report '!A42</f>
        <v>0</v>
      </c>
      <c r="AN42" s="4">
        <f>'Input AC Report '!A42</f>
        <v>0</v>
      </c>
    </row>
    <row r="43" s="4" customFormat="1" spans="1:40">
      <c r="A43" s="4">
        <f>'Input AC Report '!BL43</f>
        <v>0</v>
      </c>
      <c r="B43" s="4">
        <f>'Input AC Report '!G43</f>
        <v>0</v>
      </c>
      <c r="C43" s="4">
        <f>'Input AC Report '!GO43</f>
        <v>0</v>
      </c>
      <c r="D43" s="4" t="str">
        <f t="shared" si="0"/>
        <v>0</v>
      </c>
      <c r="E43" s="32" t="str">
        <f>_xlfn.IFNA(VLOOKUP('Input AC Report '!DU43,Validation!A:B,2,FALSE),"")</f>
        <v/>
      </c>
      <c r="F43" s="32" t="str">
        <f>_xlfn.IFNA(VLOOKUP('Input AC Report '!EQ43,Validation!A:B,2,FALSE),"")</f>
        <v/>
      </c>
      <c r="G43" s="33" t="str">
        <f>_xlfn.IFNA(VLOOKUP('Input AC Report '!I43,Validation!D:E,2,FALSE),"")</f>
        <v/>
      </c>
      <c r="H43" s="4" t="str">
        <f>LEFT('Input AC Report '!I43,2)</f>
        <v/>
      </c>
      <c r="I43" s="4">
        <f>'Input AC Report '!AS43</f>
        <v>0</v>
      </c>
      <c r="J43" s="4">
        <f>'Input AC Report '!AR43</f>
        <v>0</v>
      </c>
      <c r="K43" s="4">
        <f>'Input AC Report '!O43</f>
        <v>0</v>
      </c>
      <c r="L43" s="4">
        <f>'Input AC Report '!N43</f>
        <v>0</v>
      </c>
      <c r="M43" s="34">
        <f>'Input AC Report '!AB43</f>
        <v>0</v>
      </c>
      <c r="N43" s="4">
        <f>'Input AC Report '!W43</f>
        <v>0</v>
      </c>
      <c r="O43" s="4">
        <f>'Input AC Report '!AD43</f>
        <v>0</v>
      </c>
      <c r="P43" s="34">
        <f>'Input AC Report '!AE43</f>
        <v>0</v>
      </c>
      <c r="Q43" s="34">
        <f>'Input AC Report '!AH43</f>
        <v>0</v>
      </c>
      <c r="R43" s="34">
        <f>'Input AC Report '!AG43</f>
        <v>0</v>
      </c>
      <c r="S43" s="34">
        <f>'Input AC Report '!AP43</f>
        <v>0</v>
      </c>
      <c r="T43" s="34">
        <f>'Input AC Report '!AJ43</f>
        <v>0</v>
      </c>
      <c r="U43" s="34">
        <f>'Input AC Report '!AN43</f>
        <v>0</v>
      </c>
      <c r="V43" s="34">
        <f>'Input AC Report '!AO43</f>
        <v>0</v>
      </c>
      <c r="AA43" s="4">
        <f>'Input AC Report '!CI43</f>
        <v>0</v>
      </c>
      <c r="AB43" s="4">
        <f>'Input AC Report '!GX43</f>
        <v>0</v>
      </c>
      <c r="AC43" s="4" t="str">
        <f>_xlfn.IFNA(VLOOKUP('Input AC Report '!CU43,Validation!G:J,2,FALSE),"")</f>
        <v/>
      </c>
      <c r="AD43" s="4">
        <f>'Input AC Report '!X43</f>
        <v>0</v>
      </c>
      <c r="AE43" s="4">
        <f>'Input AC Report '!V43</f>
        <v>0</v>
      </c>
      <c r="AF43" s="4">
        <f>'Input AC Report '!U43</f>
        <v>0</v>
      </c>
      <c r="AG43" s="34">
        <f>'Input AC Report '!S43</f>
        <v>0</v>
      </c>
      <c r="AH43" s="34">
        <f>'Input AC Report '!T43</f>
        <v>0</v>
      </c>
      <c r="AI43" s="4" t="str">
        <f>_xlfn.IFNA(VLOOKUP('Input AC Report '!J43,Validation!J:K,2,FALSE),"")</f>
        <v/>
      </c>
      <c r="AJ43" s="4" t="str">
        <f>MID('Input AC Report '!GX43,45,30)</f>
        <v/>
      </c>
      <c r="AK43" s="4" t="str">
        <f>MID('Input AC Report '!GP43,12,35)</f>
        <v/>
      </c>
      <c r="AM43" s="4">
        <f>'Input AC Report '!A43</f>
        <v>0</v>
      </c>
      <c r="AN43" s="4">
        <f>'Input AC Report '!A43</f>
        <v>0</v>
      </c>
    </row>
    <row r="44" s="4" customFormat="1" spans="1:40">
      <c r="A44" s="4">
        <f>'Input AC Report '!BL44</f>
        <v>0</v>
      </c>
      <c r="B44" s="4">
        <f>'Input AC Report '!G44</f>
        <v>0</v>
      </c>
      <c r="C44" s="4">
        <f>'Input AC Report '!GO44</f>
        <v>0</v>
      </c>
      <c r="D44" s="4" t="str">
        <f t="shared" si="0"/>
        <v>0</v>
      </c>
      <c r="E44" s="32" t="str">
        <f>_xlfn.IFNA(VLOOKUP('Input AC Report '!DU44,Validation!A:B,2,FALSE),"")</f>
        <v/>
      </c>
      <c r="F44" s="32" t="str">
        <f>_xlfn.IFNA(VLOOKUP('Input AC Report '!EQ44,Validation!A:B,2,FALSE),"")</f>
        <v/>
      </c>
      <c r="G44" s="33" t="str">
        <f>_xlfn.IFNA(VLOOKUP('Input AC Report '!I44,Validation!D:E,2,FALSE),"")</f>
        <v/>
      </c>
      <c r="H44" s="4" t="str">
        <f>LEFT('Input AC Report '!I44,2)</f>
        <v/>
      </c>
      <c r="I44" s="4">
        <f>'Input AC Report '!AS44</f>
        <v>0</v>
      </c>
      <c r="J44" s="4">
        <f>'Input AC Report '!AR44</f>
        <v>0</v>
      </c>
      <c r="K44" s="4">
        <f>'Input AC Report '!O44</f>
        <v>0</v>
      </c>
      <c r="L44" s="4">
        <f>'Input AC Report '!N44</f>
        <v>0</v>
      </c>
      <c r="M44" s="34">
        <f>'Input AC Report '!AB44</f>
        <v>0</v>
      </c>
      <c r="N44" s="4">
        <f>'Input AC Report '!W44</f>
        <v>0</v>
      </c>
      <c r="O44" s="4">
        <f>'Input AC Report '!AD44</f>
        <v>0</v>
      </c>
      <c r="P44" s="34">
        <f>'Input AC Report '!AE44</f>
        <v>0</v>
      </c>
      <c r="Q44" s="34">
        <f>'Input AC Report '!AH44</f>
        <v>0</v>
      </c>
      <c r="R44" s="34">
        <f>'Input AC Report '!AG44</f>
        <v>0</v>
      </c>
      <c r="S44" s="34">
        <f>'Input AC Report '!AP44</f>
        <v>0</v>
      </c>
      <c r="T44" s="34">
        <f>'Input AC Report '!AJ44</f>
        <v>0</v>
      </c>
      <c r="U44" s="34">
        <f>'Input AC Report '!AN44</f>
        <v>0</v>
      </c>
      <c r="V44" s="34">
        <f>'Input AC Report '!AO44</f>
        <v>0</v>
      </c>
      <c r="AA44" s="4">
        <f>'Input AC Report '!CI44</f>
        <v>0</v>
      </c>
      <c r="AB44" s="4">
        <f>'Input AC Report '!GX44</f>
        <v>0</v>
      </c>
      <c r="AC44" s="4" t="str">
        <f>_xlfn.IFNA(VLOOKUP('Input AC Report '!CU44,Validation!G:J,2,FALSE),"")</f>
        <v/>
      </c>
      <c r="AD44" s="4">
        <f>'Input AC Report '!X44</f>
        <v>0</v>
      </c>
      <c r="AE44" s="4">
        <f>'Input AC Report '!V44</f>
        <v>0</v>
      </c>
      <c r="AF44" s="4">
        <f>'Input AC Report '!U44</f>
        <v>0</v>
      </c>
      <c r="AG44" s="34">
        <f>'Input AC Report '!S44</f>
        <v>0</v>
      </c>
      <c r="AH44" s="34">
        <f>'Input AC Report '!T44</f>
        <v>0</v>
      </c>
      <c r="AI44" s="4" t="str">
        <f>_xlfn.IFNA(VLOOKUP('Input AC Report '!J44,Validation!J:K,2,FALSE),"")</f>
        <v/>
      </c>
      <c r="AJ44" s="4" t="str">
        <f>MID('Input AC Report '!GX44,45,30)</f>
        <v/>
      </c>
      <c r="AK44" s="4" t="str">
        <f>MID('Input AC Report '!GP44,12,35)</f>
        <v/>
      </c>
      <c r="AM44" s="4">
        <f>'Input AC Report '!A44</f>
        <v>0</v>
      </c>
      <c r="AN44" s="4">
        <f>'Input AC Report '!A44</f>
        <v>0</v>
      </c>
    </row>
    <row r="45" s="4" customFormat="1" spans="1:40">
      <c r="A45" s="4">
        <f>'Input AC Report '!BL45</f>
        <v>0</v>
      </c>
      <c r="B45" s="4">
        <f>'Input AC Report '!G45</f>
        <v>0</v>
      </c>
      <c r="C45" s="4">
        <f>'Input AC Report '!GO45</f>
        <v>0</v>
      </c>
      <c r="D45" s="4" t="str">
        <f t="shared" si="0"/>
        <v>0</v>
      </c>
      <c r="E45" s="32" t="str">
        <f>_xlfn.IFNA(VLOOKUP('Input AC Report '!DU45,Validation!A:B,2,FALSE),"")</f>
        <v/>
      </c>
      <c r="F45" s="32" t="str">
        <f>_xlfn.IFNA(VLOOKUP('Input AC Report '!EQ45,Validation!A:B,2,FALSE),"")</f>
        <v/>
      </c>
      <c r="G45" s="33" t="str">
        <f>_xlfn.IFNA(VLOOKUP('Input AC Report '!I45,Validation!D:E,2,FALSE),"")</f>
        <v/>
      </c>
      <c r="H45" s="4" t="str">
        <f>LEFT('Input AC Report '!I45,2)</f>
        <v/>
      </c>
      <c r="I45" s="4">
        <f>'Input AC Report '!AS45</f>
        <v>0</v>
      </c>
      <c r="J45" s="4">
        <f>'Input AC Report '!AR45</f>
        <v>0</v>
      </c>
      <c r="K45" s="4">
        <f>'Input AC Report '!O45</f>
        <v>0</v>
      </c>
      <c r="L45" s="4">
        <f>'Input AC Report '!N45</f>
        <v>0</v>
      </c>
      <c r="M45" s="34">
        <f>'Input AC Report '!AB45</f>
        <v>0</v>
      </c>
      <c r="N45" s="4">
        <f>'Input AC Report '!W45</f>
        <v>0</v>
      </c>
      <c r="O45" s="4">
        <f>'Input AC Report '!AD45</f>
        <v>0</v>
      </c>
      <c r="P45" s="34">
        <f>'Input AC Report '!AE45</f>
        <v>0</v>
      </c>
      <c r="Q45" s="34">
        <f>'Input AC Report '!AH45</f>
        <v>0</v>
      </c>
      <c r="R45" s="34">
        <f>'Input AC Report '!AG45</f>
        <v>0</v>
      </c>
      <c r="S45" s="34">
        <f>'Input AC Report '!AP45</f>
        <v>0</v>
      </c>
      <c r="T45" s="34">
        <f>'Input AC Report '!AJ45</f>
        <v>0</v>
      </c>
      <c r="U45" s="34">
        <f>'Input AC Report '!AN45</f>
        <v>0</v>
      </c>
      <c r="V45" s="34">
        <f>'Input AC Report '!AO45</f>
        <v>0</v>
      </c>
      <c r="AA45" s="4">
        <f>'Input AC Report '!CI45</f>
        <v>0</v>
      </c>
      <c r="AB45" s="4">
        <f>'Input AC Report '!GX45</f>
        <v>0</v>
      </c>
      <c r="AC45" s="4" t="str">
        <f>_xlfn.IFNA(VLOOKUP('Input AC Report '!CU45,Validation!G:J,2,FALSE),"")</f>
        <v/>
      </c>
      <c r="AD45" s="4">
        <f>'Input AC Report '!X45</f>
        <v>0</v>
      </c>
      <c r="AE45" s="4">
        <f>'Input AC Report '!V45</f>
        <v>0</v>
      </c>
      <c r="AF45" s="4">
        <f>'Input AC Report '!U45</f>
        <v>0</v>
      </c>
      <c r="AG45" s="34">
        <f>'Input AC Report '!S45</f>
        <v>0</v>
      </c>
      <c r="AH45" s="34">
        <f>'Input AC Report '!T45</f>
        <v>0</v>
      </c>
      <c r="AI45" s="4" t="str">
        <f>_xlfn.IFNA(VLOOKUP('Input AC Report '!J45,Validation!J:K,2,FALSE),"")</f>
        <v/>
      </c>
      <c r="AJ45" s="4" t="str">
        <f>MID('Input AC Report '!GX45,45,30)</f>
        <v/>
      </c>
      <c r="AK45" s="4" t="str">
        <f>MID('Input AC Report '!GP45,12,35)</f>
        <v/>
      </c>
      <c r="AM45" s="4">
        <f>'Input AC Report '!A45</f>
        <v>0</v>
      </c>
      <c r="AN45" s="4">
        <f>'Input AC Report '!A45</f>
        <v>0</v>
      </c>
    </row>
    <row r="46" s="4" customFormat="1" spans="1:40">
      <c r="A46" s="4">
        <f>'Input AC Report '!BL46</f>
        <v>0</v>
      </c>
      <c r="B46" s="4">
        <f>'Input AC Report '!G46</f>
        <v>0</v>
      </c>
      <c r="C46" s="4">
        <f>'Input AC Report '!GO46</f>
        <v>0</v>
      </c>
      <c r="D46" s="4" t="str">
        <f t="shared" si="0"/>
        <v>0</v>
      </c>
      <c r="E46" s="32" t="str">
        <f>_xlfn.IFNA(VLOOKUP('Input AC Report '!DU46,Validation!A:B,2,FALSE),"")</f>
        <v/>
      </c>
      <c r="F46" s="32" t="str">
        <f>_xlfn.IFNA(VLOOKUP('Input AC Report '!EQ46,Validation!A:B,2,FALSE),"")</f>
        <v/>
      </c>
      <c r="G46" s="33" t="str">
        <f>_xlfn.IFNA(VLOOKUP('Input AC Report '!I46,Validation!D:E,2,FALSE),"")</f>
        <v/>
      </c>
      <c r="H46" s="4" t="str">
        <f>LEFT('Input AC Report '!I46,2)</f>
        <v/>
      </c>
      <c r="I46" s="4">
        <f>'Input AC Report '!AS46</f>
        <v>0</v>
      </c>
      <c r="J46" s="4">
        <f>'Input AC Report '!AR46</f>
        <v>0</v>
      </c>
      <c r="K46" s="4">
        <f>'Input AC Report '!O46</f>
        <v>0</v>
      </c>
      <c r="L46" s="4">
        <f>'Input AC Report '!N46</f>
        <v>0</v>
      </c>
      <c r="M46" s="34">
        <f>'Input AC Report '!AB46</f>
        <v>0</v>
      </c>
      <c r="N46" s="4">
        <f>'Input AC Report '!W46</f>
        <v>0</v>
      </c>
      <c r="O46" s="4">
        <f>'Input AC Report '!AD46</f>
        <v>0</v>
      </c>
      <c r="P46" s="34">
        <f>'Input AC Report '!AE46</f>
        <v>0</v>
      </c>
      <c r="Q46" s="34">
        <f>'Input AC Report '!AH46</f>
        <v>0</v>
      </c>
      <c r="R46" s="34">
        <f>'Input AC Report '!AG46</f>
        <v>0</v>
      </c>
      <c r="S46" s="34">
        <f>'Input AC Report '!AP46</f>
        <v>0</v>
      </c>
      <c r="T46" s="34">
        <f>'Input AC Report '!AJ46</f>
        <v>0</v>
      </c>
      <c r="U46" s="34">
        <f>'Input AC Report '!AN46</f>
        <v>0</v>
      </c>
      <c r="V46" s="34">
        <f>'Input AC Report '!AO46</f>
        <v>0</v>
      </c>
      <c r="AA46" s="4">
        <f>'Input AC Report '!CI46</f>
        <v>0</v>
      </c>
      <c r="AB46" s="4">
        <f>'Input AC Report '!GX46</f>
        <v>0</v>
      </c>
      <c r="AC46" s="4" t="str">
        <f>_xlfn.IFNA(VLOOKUP('Input AC Report '!CU46,Validation!G:J,2,FALSE),"")</f>
        <v/>
      </c>
      <c r="AD46" s="4">
        <f>'Input AC Report '!X46</f>
        <v>0</v>
      </c>
      <c r="AE46" s="4">
        <f>'Input AC Report '!V46</f>
        <v>0</v>
      </c>
      <c r="AF46" s="4">
        <f>'Input AC Report '!U46</f>
        <v>0</v>
      </c>
      <c r="AG46" s="34">
        <f>'Input AC Report '!S46</f>
        <v>0</v>
      </c>
      <c r="AH46" s="34">
        <f>'Input AC Report '!T46</f>
        <v>0</v>
      </c>
      <c r="AI46" s="4" t="str">
        <f>_xlfn.IFNA(VLOOKUP('Input AC Report '!J46,Validation!J:K,2,FALSE),"")</f>
        <v/>
      </c>
      <c r="AJ46" s="4" t="str">
        <f>MID('Input AC Report '!GX46,45,30)</f>
        <v/>
      </c>
      <c r="AK46" s="4" t="str">
        <f>MID('Input AC Report '!GP46,12,35)</f>
        <v/>
      </c>
      <c r="AM46" s="4">
        <f>'Input AC Report '!A46</f>
        <v>0</v>
      </c>
      <c r="AN46" s="4">
        <f>'Input AC Report '!A46</f>
        <v>0</v>
      </c>
    </row>
    <row r="47" s="4" customFormat="1" spans="1:40">
      <c r="A47" s="4">
        <f>'Input AC Report '!BL47</f>
        <v>0</v>
      </c>
      <c r="B47" s="4">
        <f>'Input AC Report '!G47</f>
        <v>0</v>
      </c>
      <c r="C47" s="4">
        <f>'Input AC Report '!GO47</f>
        <v>0</v>
      </c>
      <c r="D47" s="4" t="str">
        <f t="shared" si="0"/>
        <v>0</v>
      </c>
      <c r="E47" s="32" t="str">
        <f>_xlfn.IFNA(VLOOKUP('Input AC Report '!DU47,Validation!A:B,2,FALSE),"")</f>
        <v/>
      </c>
      <c r="F47" s="32" t="str">
        <f>_xlfn.IFNA(VLOOKUP('Input AC Report '!EQ47,Validation!A:B,2,FALSE),"")</f>
        <v/>
      </c>
      <c r="G47" s="33" t="str">
        <f>_xlfn.IFNA(VLOOKUP('Input AC Report '!I47,Validation!D:E,2,FALSE),"")</f>
        <v/>
      </c>
      <c r="H47" s="4" t="str">
        <f>LEFT('Input AC Report '!I47,2)</f>
        <v/>
      </c>
      <c r="I47" s="4">
        <f>'Input AC Report '!AS47</f>
        <v>0</v>
      </c>
      <c r="J47" s="4">
        <f>'Input AC Report '!AR47</f>
        <v>0</v>
      </c>
      <c r="K47" s="4">
        <f>'Input AC Report '!O47</f>
        <v>0</v>
      </c>
      <c r="L47" s="4">
        <f>'Input AC Report '!N47</f>
        <v>0</v>
      </c>
      <c r="M47" s="34">
        <f>'Input AC Report '!AB47</f>
        <v>0</v>
      </c>
      <c r="N47" s="4">
        <f>'Input AC Report '!W47</f>
        <v>0</v>
      </c>
      <c r="O47" s="4">
        <f>'Input AC Report '!AD47</f>
        <v>0</v>
      </c>
      <c r="P47" s="34">
        <f>'Input AC Report '!AE47</f>
        <v>0</v>
      </c>
      <c r="Q47" s="34">
        <f>'Input AC Report '!AH47</f>
        <v>0</v>
      </c>
      <c r="R47" s="34">
        <f>'Input AC Report '!AG47</f>
        <v>0</v>
      </c>
      <c r="S47" s="34">
        <f>'Input AC Report '!AP47</f>
        <v>0</v>
      </c>
      <c r="T47" s="34">
        <f>'Input AC Report '!AJ47</f>
        <v>0</v>
      </c>
      <c r="U47" s="34">
        <f>'Input AC Report '!AN47</f>
        <v>0</v>
      </c>
      <c r="V47" s="34">
        <f>'Input AC Report '!AO47</f>
        <v>0</v>
      </c>
      <c r="AA47" s="4">
        <f>'Input AC Report '!CI47</f>
        <v>0</v>
      </c>
      <c r="AB47" s="4">
        <f>'Input AC Report '!GX47</f>
        <v>0</v>
      </c>
      <c r="AC47" s="4" t="str">
        <f>_xlfn.IFNA(VLOOKUP('Input AC Report '!CU47,Validation!G:J,2,FALSE),"")</f>
        <v/>
      </c>
      <c r="AD47" s="4">
        <f>'Input AC Report '!X47</f>
        <v>0</v>
      </c>
      <c r="AE47" s="4">
        <f>'Input AC Report '!V47</f>
        <v>0</v>
      </c>
      <c r="AF47" s="4">
        <f>'Input AC Report '!U47</f>
        <v>0</v>
      </c>
      <c r="AG47" s="34">
        <f>'Input AC Report '!S47</f>
        <v>0</v>
      </c>
      <c r="AH47" s="34">
        <f>'Input AC Report '!T47</f>
        <v>0</v>
      </c>
      <c r="AI47" s="4" t="str">
        <f>_xlfn.IFNA(VLOOKUP('Input AC Report '!J47,Validation!J:K,2,FALSE),"")</f>
        <v/>
      </c>
      <c r="AJ47" s="4" t="str">
        <f>MID('Input AC Report '!GX47,45,30)</f>
        <v/>
      </c>
      <c r="AK47" s="4" t="str">
        <f>MID('Input AC Report '!GP47,12,35)</f>
        <v/>
      </c>
      <c r="AM47" s="4">
        <f>'Input AC Report '!A47</f>
        <v>0</v>
      </c>
      <c r="AN47" s="4">
        <f>'Input AC Report '!A47</f>
        <v>0</v>
      </c>
    </row>
    <row r="48" s="4" customFormat="1" spans="1:40">
      <c r="A48" s="4">
        <f>'Input AC Report '!BL48</f>
        <v>0</v>
      </c>
      <c r="B48" s="4">
        <f>'Input AC Report '!G48</f>
        <v>0</v>
      </c>
      <c r="C48" s="4">
        <f>'Input AC Report '!GO48</f>
        <v>0</v>
      </c>
      <c r="D48" s="4" t="str">
        <f t="shared" si="0"/>
        <v>0</v>
      </c>
      <c r="E48" s="32" t="str">
        <f>_xlfn.IFNA(VLOOKUP('Input AC Report '!DU48,Validation!A:B,2,FALSE),"")</f>
        <v/>
      </c>
      <c r="F48" s="32" t="str">
        <f>_xlfn.IFNA(VLOOKUP('Input AC Report '!EQ48,Validation!A:B,2,FALSE),"")</f>
        <v/>
      </c>
      <c r="G48" s="33" t="str">
        <f>_xlfn.IFNA(VLOOKUP('Input AC Report '!I48,Validation!D:E,2,FALSE),"")</f>
        <v/>
      </c>
      <c r="H48" s="4" t="str">
        <f>LEFT('Input AC Report '!I48,2)</f>
        <v/>
      </c>
      <c r="I48" s="4">
        <f>'Input AC Report '!AS48</f>
        <v>0</v>
      </c>
      <c r="J48" s="4">
        <f>'Input AC Report '!AR48</f>
        <v>0</v>
      </c>
      <c r="K48" s="4">
        <f>'Input AC Report '!O48</f>
        <v>0</v>
      </c>
      <c r="L48" s="4">
        <f>'Input AC Report '!N48</f>
        <v>0</v>
      </c>
      <c r="M48" s="34">
        <f>'Input AC Report '!AB48</f>
        <v>0</v>
      </c>
      <c r="N48" s="4">
        <f>'Input AC Report '!W48</f>
        <v>0</v>
      </c>
      <c r="O48" s="4">
        <f>'Input AC Report '!AD48</f>
        <v>0</v>
      </c>
      <c r="P48" s="34">
        <f>'Input AC Report '!AE48</f>
        <v>0</v>
      </c>
      <c r="Q48" s="34">
        <f>'Input AC Report '!AH48</f>
        <v>0</v>
      </c>
      <c r="R48" s="34">
        <f>'Input AC Report '!AG48</f>
        <v>0</v>
      </c>
      <c r="S48" s="34">
        <f>'Input AC Report '!AP48</f>
        <v>0</v>
      </c>
      <c r="T48" s="34">
        <f>'Input AC Report '!AJ48</f>
        <v>0</v>
      </c>
      <c r="U48" s="34">
        <f>'Input AC Report '!AN48</f>
        <v>0</v>
      </c>
      <c r="V48" s="34">
        <f>'Input AC Report '!AO48</f>
        <v>0</v>
      </c>
      <c r="AA48" s="4">
        <f>'Input AC Report '!CI48</f>
        <v>0</v>
      </c>
      <c r="AB48" s="4">
        <f>'Input AC Report '!GX48</f>
        <v>0</v>
      </c>
      <c r="AC48" s="4" t="str">
        <f>_xlfn.IFNA(VLOOKUP('Input AC Report '!CU48,Validation!G:J,2,FALSE),"")</f>
        <v/>
      </c>
      <c r="AD48" s="4">
        <f>'Input AC Report '!X48</f>
        <v>0</v>
      </c>
      <c r="AE48" s="4">
        <f>'Input AC Report '!V48</f>
        <v>0</v>
      </c>
      <c r="AF48" s="4">
        <f>'Input AC Report '!U48</f>
        <v>0</v>
      </c>
      <c r="AG48" s="34">
        <f>'Input AC Report '!S48</f>
        <v>0</v>
      </c>
      <c r="AH48" s="34">
        <f>'Input AC Report '!T48</f>
        <v>0</v>
      </c>
      <c r="AI48" s="4" t="str">
        <f>_xlfn.IFNA(VLOOKUP('Input AC Report '!J48,Validation!J:K,2,FALSE),"")</f>
        <v/>
      </c>
      <c r="AJ48" s="4" t="str">
        <f>MID('Input AC Report '!GX48,45,30)</f>
        <v/>
      </c>
      <c r="AK48" s="4" t="str">
        <f>MID('Input AC Report '!GP48,12,35)</f>
        <v/>
      </c>
      <c r="AM48" s="4">
        <f>'Input AC Report '!A48</f>
        <v>0</v>
      </c>
      <c r="AN48" s="4">
        <f>'Input AC Report '!A48</f>
        <v>0</v>
      </c>
    </row>
    <row r="49" s="4" customFormat="1" spans="1:40">
      <c r="A49" s="4">
        <f>'Input AC Report '!BL49</f>
        <v>0</v>
      </c>
      <c r="B49" s="4">
        <f>'Input AC Report '!G49</f>
        <v>0</v>
      </c>
      <c r="C49" s="4">
        <f>'Input AC Report '!GO49</f>
        <v>0</v>
      </c>
      <c r="D49" s="4" t="str">
        <f t="shared" si="0"/>
        <v>0</v>
      </c>
      <c r="E49" s="32" t="str">
        <f>_xlfn.IFNA(VLOOKUP('Input AC Report '!DU49,Validation!A:B,2,FALSE),"")</f>
        <v/>
      </c>
      <c r="F49" s="32" t="str">
        <f>_xlfn.IFNA(VLOOKUP('Input AC Report '!EQ49,Validation!A:B,2,FALSE),"")</f>
        <v/>
      </c>
      <c r="G49" s="33" t="str">
        <f>_xlfn.IFNA(VLOOKUP('Input AC Report '!I49,Validation!D:E,2,FALSE),"")</f>
        <v/>
      </c>
      <c r="H49" s="4" t="str">
        <f>LEFT('Input AC Report '!I49,2)</f>
        <v/>
      </c>
      <c r="I49" s="4">
        <f>'Input AC Report '!AS49</f>
        <v>0</v>
      </c>
      <c r="J49" s="4">
        <f>'Input AC Report '!AR49</f>
        <v>0</v>
      </c>
      <c r="K49" s="4">
        <f>'Input AC Report '!O49</f>
        <v>0</v>
      </c>
      <c r="L49" s="4">
        <f>'Input AC Report '!N49</f>
        <v>0</v>
      </c>
      <c r="M49" s="34">
        <f>'Input AC Report '!AB49</f>
        <v>0</v>
      </c>
      <c r="N49" s="4">
        <f>'Input AC Report '!W49</f>
        <v>0</v>
      </c>
      <c r="O49" s="4">
        <f>'Input AC Report '!AD49</f>
        <v>0</v>
      </c>
      <c r="P49" s="34">
        <f>'Input AC Report '!AE49</f>
        <v>0</v>
      </c>
      <c r="Q49" s="34">
        <f>'Input AC Report '!AH49</f>
        <v>0</v>
      </c>
      <c r="R49" s="34">
        <f>'Input AC Report '!AG49</f>
        <v>0</v>
      </c>
      <c r="S49" s="34">
        <f>'Input AC Report '!AP49</f>
        <v>0</v>
      </c>
      <c r="T49" s="34">
        <f>'Input AC Report '!AJ49</f>
        <v>0</v>
      </c>
      <c r="U49" s="34">
        <f>'Input AC Report '!AN49</f>
        <v>0</v>
      </c>
      <c r="V49" s="34">
        <f>'Input AC Report '!AO49</f>
        <v>0</v>
      </c>
      <c r="AA49" s="4">
        <f>'Input AC Report '!CI49</f>
        <v>0</v>
      </c>
      <c r="AB49" s="4">
        <f>'Input AC Report '!GX49</f>
        <v>0</v>
      </c>
      <c r="AC49" s="4" t="str">
        <f>_xlfn.IFNA(VLOOKUP('Input AC Report '!CU49,Validation!G:J,2,FALSE),"")</f>
        <v/>
      </c>
      <c r="AD49" s="4">
        <f>'Input AC Report '!X49</f>
        <v>0</v>
      </c>
      <c r="AE49" s="4">
        <f>'Input AC Report '!V49</f>
        <v>0</v>
      </c>
      <c r="AF49" s="4">
        <f>'Input AC Report '!U49</f>
        <v>0</v>
      </c>
      <c r="AG49" s="34">
        <f>'Input AC Report '!S49</f>
        <v>0</v>
      </c>
      <c r="AH49" s="34">
        <f>'Input AC Report '!T49</f>
        <v>0</v>
      </c>
      <c r="AI49" s="4" t="str">
        <f>_xlfn.IFNA(VLOOKUP('Input AC Report '!J49,Validation!J:K,2,FALSE),"")</f>
        <v/>
      </c>
      <c r="AJ49" s="4" t="str">
        <f>MID('Input AC Report '!GX49,45,30)</f>
        <v/>
      </c>
      <c r="AK49" s="4" t="str">
        <f>MID('Input AC Report '!GP49,12,35)</f>
        <v/>
      </c>
      <c r="AM49" s="4">
        <f>'Input AC Report '!A49</f>
        <v>0</v>
      </c>
      <c r="AN49" s="4">
        <f>'Input AC Report '!A49</f>
        <v>0</v>
      </c>
    </row>
    <row r="50" s="4" customFormat="1" spans="1:40">
      <c r="A50" s="4">
        <f>'Input AC Report '!BL50</f>
        <v>0</v>
      </c>
      <c r="B50" s="4">
        <f>'Input AC Report '!G50</f>
        <v>0</v>
      </c>
      <c r="C50" s="4">
        <f>'Input AC Report '!GO50</f>
        <v>0</v>
      </c>
      <c r="D50" s="4" t="str">
        <f t="shared" si="0"/>
        <v>0</v>
      </c>
      <c r="E50" s="32" t="str">
        <f>_xlfn.IFNA(VLOOKUP('Input AC Report '!DU50,Validation!A:B,2,FALSE),"")</f>
        <v/>
      </c>
      <c r="F50" s="32" t="str">
        <f>_xlfn.IFNA(VLOOKUP('Input AC Report '!EQ50,Validation!A:B,2,FALSE),"")</f>
        <v/>
      </c>
      <c r="G50" s="33" t="str">
        <f>_xlfn.IFNA(VLOOKUP('Input AC Report '!I50,Validation!D:E,2,FALSE),"")</f>
        <v/>
      </c>
      <c r="H50" s="4" t="str">
        <f>LEFT('Input AC Report '!I50,2)</f>
        <v/>
      </c>
      <c r="I50" s="4">
        <f>'Input AC Report '!AS50</f>
        <v>0</v>
      </c>
      <c r="J50" s="4">
        <f>'Input AC Report '!AR50</f>
        <v>0</v>
      </c>
      <c r="K50" s="4">
        <f>'Input AC Report '!O50</f>
        <v>0</v>
      </c>
      <c r="L50" s="4">
        <f>'Input AC Report '!N50</f>
        <v>0</v>
      </c>
      <c r="M50" s="34">
        <f>'Input AC Report '!AB50</f>
        <v>0</v>
      </c>
      <c r="N50" s="4">
        <f>'Input AC Report '!W50</f>
        <v>0</v>
      </c>
      <c r="O50" s="4">
        <f>'Input AC Report '!AD50</f>
        <v>0</v>
      </c>
      <c r="P50" s="34">
        <f>'Input AC Report '!AE50</f>
        <v>0</v>
      </c>
      <c r="Q50" s="34">
        <f>'Input AC Report '!AH50</f>
        <v>0</v>
      </c>
      <c r="R50" s="34">
        <f>'Input AC Report '!AG50</f>
        <v>0</v>
      </c>
      <c r="S50" s="34">
        <f>'Input AC Report '!AP50</f>
        <v>0</v>
      </c>
      <c r="T50" s="34">
        <f>'Input AC Report '!AJ50</f>
        <v>0</v>
      </c>
      <c r="U50" s="34">
        <f>'Input AC Report '!AN50</f>
        <v>0</v>
      </c>
      <c r="V50" s="34">
        <f>'Input AC Report '!AO50</f>
        <v>0</v>
      </c>
      <c r="AA50" s="4">
        <f>'Input AC Report '!CI50</f>
        <v>0</v>
      </c>
      <c r="AB50" s="4">
        <f>'Input AC Report '!GX50</f>
        <v>0</v>
      </c>
      <c r="AC50" s="4" t="str">
        <f>_xlfn.IFNA(VLOOKUP('Input AC Report '!CU50,Validation!G:J,2,FALSE),"")</f>
        <v/>
      </c>
      <c r="AD50" s="4">
        <f>'Input AC Report '!X50</f>
        <v>0</v>
      </c>
      <c r="AE50" s="4">
        <f>'Input AC Report '!V50</f>
        <v>0</v>
      </c>
      <c r="AF50" s="4">
        <f>'Input AC Report '!U50</f>
        <v>0</v>
      </c>
      <c r="AG50" s="34">
        <f>'Input AC Report '!S50</f>
        <v>0</v>
      </c>
      <c r="AH50" s="34">
        <f>'Input AC Report '!T50</f>
        <v>0</v>
      </c>
      <c r="AI50" s="4" t="str">
        <f>_xlfn.IFNA(VLOOKUP('Input AC Report '!J50,Validation!J:K,2,FALSE),"")</f>
        <v/>
      </c>
      <c r="AJ50" s="4" t="str">
        <f>MID('Input AC Report '!GX50,45,30)</f>
        <v/>
      </c>
      <c r="AK50" s="4" t="str">
        <f>MID('Input AC Report '!GP50,12,35)</f>
        <v/>
      </c>
      <c r="AM50" s="4">
        <f>'Input AC Report '!A50</f>
        <v>0</v>
      </c>
      <c r="AN50" s="4">
        <f>'Input AC Report '!A50</f>
        <v>0</v>
      </c>
    </row>
    <row r="51" s="4" customFormat="1" spans="1:40">
      <c r="A51" s="4">
        <f>'Input AC Report '!BL51</f>
        <v>0</v>
      </c>
      <c r="B51" s="4">
        <f>'Input AC Report '!G51</f>
        <v>0</v>
      </c>
      <c r="C51" s="4">
        <f>'Input AC Report '!GO51</f>
        <v>0</v>
      </c>
      <c r="D51" s="4" t="str">
        <f t="shared" si="0"/>
        <v>0</v>
      </c>
      <c r="E51" s="32" t="str">
        <f>_xlfn.IFNA(VLOOKUP('Input AC Report '!DU51,Validation!A:B,2,FALSE),"")</f>
        <v/>
      </c>
      <c r="F51" s="32" t="str">
        <f>_xlfn.IFNA(VLOOKUP('Input AC Report '!EQ51,Validation!A:B,2,FALSE),"")</f>
        <v/>
      </c>
      <c r="G51" s="33" t="str">
        <f>_xlfn.IFNA(VLOOKUP('Input AC Report '!I51,Validation!D:E,2,FALSE),"")</f>
        <v/>
      </c>
      <c r="H51" s="4" t="str">
        <f>LEFT('Input AC Report '!I51,2)</f>
        <v/>
      </c>
      <c r="I51" s="4">
        <f>'Input AC Report '!AS51</f>
        <v>0</v>
      </c>
      <c r="J51" s="4">
        <f>'Input AC Report '!AR51</f>
        <v>0</v>
      </c>
      <c r="K51" s="4">
        <f>'Input AC Report '!O51</f>
        <v>0</v>
      </c>
      <c r="L51" s="4">
        <f>'Input AC Report '!N51</f>
        <v>0</v>
      </c>
      <c r="M51" s="34">
        <f>'Input AC Report '!AB51</f>
        <v>0</v>
      </c>
      <c r="N51" s="4">
        <f>'Input AC Report '!W51</f>
        <v>0</v>
      </c>
      <c r="O51" s="4">
        <f>'Input AC Report '!AD51</f>
        <v>0</v>
      </c>
      <c r="P51" s="34">
        <f>'Input AC Report '!AE51</f>
        <v>0</v>
      </c>
      <c r="Q51" s="34">
        <f>'Input AC Report '!AH51</f>
        <v>0</v>
      </c>
      <c r="R51" s="34">
        <f>'Input AC Report '!AG51</f>
        <v>0</v>
      </c>
      <c r="S51" s="34">
        <f>'Input AC Report '!AP51</f>
        <v>0</v>
      </c>
      <c r="T51" s="34">
        <f>'Input AC Report '!AJ51</f>
        <v>0</v>
      </c>
      <c r="U51" s="34">
        <f>'Input AC Report '!AN51</f>
        <v>0</v>
      </c>
      <c r="V51" s="34">
        <f>'Input AC Report '!AO51</f>
        <v>0</v>
      </c>
      <c r="AA51" s="4">
        <f>'Input AC Report '!CI51</f>
        <v>0</v>
      </c>
      <c r="AB51" s="4">
        <f>'Input AC Report '!GX51</f>
        <v>0</v>
      </c>
      <c r="AC51" s="4" t="str">
        <f>_xlfn.IFNA(VLOOKUP('Input AC Report '!CU51,Validation!G:J,2,FALSE),"")</f>
        <v/>
      </c>
      <c r="AD51" s="4">
        <f>'Input AC Report '!X51</f>
        <v>0</v>
      </c>
      <c r="AE51" s="4">
        <f>'Input AC Report '!V51</f>
        <v>0</v>
      </c>
      <c r="AF51" s="4">
        <f>'Input AC Report '!U51</f>
        <v>0</v>
      </c>
      <c r="AG51" s="34">
        <f>'Input AC Report '!S51</f>
        <v>0</v>
      </c>
      <c r="AH51" s="34">
        <f>'Input AC Report '!T51</f>
        <v>0</v>
      </c>
      <c r="AI51" s="4" t="str">
        <f>_xlfn.IFNA(VLOOKUP('Input AC Report '!J51,Validation!J:K,2,FALSE),"")</f>
        <v/>
      </c>
      <c r="AJ51" s="4" t="str">
        <f>MID('Input AC Report '!GX51,45,30)</f>
        <v/>
      </c>
      <c r="AK51" s="4" t="str">
        <f>MID('Input AC Report '!GP51,12,35)</f>
        <v/>
      </c>
      <c r="AM51" s="4">
        <f>'Input AC Report '!A51</f>
        <v>0</v>
      </c>
      <c r="AN51" s="4">
        <f>'Input AC Report '!A51</f>
        <v>0</v>
      </c>
    </row>
    <row r="52" s="4" customFormat="1" spans="1:40">
      <c r="A52" s="4">
        <f>'Input AC Report '!BL52</f>
        <v>0</v>
      </c>
      <c r="B52" s="4">
        <f>'Input AC Report '!G52</f>
        <v>0</v>
      </c>
      <c r="C52" s="4">
        <f>'Input AC Report '!GO52</f>
        <v>0</v>
      </c>
      <c r="D52" s="4" t="str">
        <f t="shared" si="0"/>
        <v>0</v>
      </c>
      <c r="E52" s="32" t="str">
        <f>_xlfn.IFNA(VLOOKUP('Input AC Report '!DU52,Validation!A:B,2,FALSE),"")</f>
        <v/>
      </c>
      <c r="F52" s="32" t="str">
        <f>_xlfn.IFNA(VLOOKUP('Input AC Report '!EQ52,Validation!A:B,2,FALSE),"")</f>
        <v/>
      </c>
      <c r="G52" s="33" t="str">
        <f>_xlfn.IFNA(VLOOKUP('Input AC Report '!I52,Validation!D:E,2,FALSE),"")</f>
        <v/>
      </c>
      <c r="H52" s="4" t="str">
        <f>LEFT('Input AC Report '!I52,2)</f>
        <v/>
      </c>
      <c r="I52" s="4">
        <f>'Input AC Report '!AS52</f>
        <v>0</v>
      </c>
      <c r="J52" s="4">
        <f>'Input AC Report '!AR52</f>
        <v>0</v>
      </c>
      <c r="K52" s="4">
        <f>'Input AC Report '!O52</f>
        <v>0</v>
      </c>
      <c r="L52" s="4">
        <f>'Input AC Report '!N52</f>
        <v>0</v>
      </c>
      <c r="M52" s="34">
        <f>'Input AC Report '!AB52</f>
        <v>0</v>
      </c>
      <c r="N52" s="4">
        <f>'Input AC Report '!W52</f>
        <v>0</v>
      </c>
      <c r="O52" s="4">
        <f>'Input AC Report '!AD52</f>
        <v>0</v>
      </c>
      <c r="P52" s="34">
        <f>'Input AC Report '!AE52</f>
        <v>0</v>
      </c>
      <c r="Q52" s="34">
        <f>'Input AC Report '!AH52</f>
        <v>0</v>
      </c>
      <c r="R52" s="34">
        <f>'Input AC Report '!AG52</f>
        <v>0</v>
      </c>
      <c r="S52" s="34">
        <f>'Input AC Report '!AP52</f>
        <v>0</v>
      </c>
      <c r="T52" s="34">
        <f>'Input AC Report '!AJ52</f>
        <v>0</v>
      </c>
      <c r="U52" s="34">
        <f>'Input AC Report '!AN52</f>
        <v>0</v>
      </c>
      <c r="V52" s="34">
        <f>'Input AC Report '!AO52</f>
        <v>0</v>
      </c>
      <c r="AA52" s="4">
        <f>'Input AC Report '!CI52</f>
        <v>0</v>
      </c>
      <c r="AB52" s="4">
        <f>'Input AC Report '!GX52</f>
        <v>0</v>
      </c>
      <c r="AC52" s="4" t="str">
        <f>_xlfn.IFNA(VLOOKUP('Input AC Report '!CU52,Validation!G:J,2,FALSE),"")</f>
        <v/>
      </c>
      <c r="AD52" s="4">
        <f>'Input AC Report '!X52</f>
        <v>0</v>
      </c>
      <c r="AE52" s="4">
        <f>'Input AC Report '!V52</f>
        <v>0</v>
      </c>
      <c r="AF52" s="4">
        <f>'Input AC Report '!U52</f>
        <v>0</v>
      </c>
      <c r="AG52" s="34">
        <f>'Input AC Report '!S52</f>
        <v>0</v>
      </c>
      <c r="AH52" s="34">
        <f>'Input AC Report '!T52</f>
        <v>0</v>
      </c>
      <c r="AI52" s="4" t="str">
        <f>_xlfn.IFNA(VLOOKUP('Input AC Report '!J52,Validation!J:K,2,FALSE),"")</f>
        <v/>
      </c>
      <c r="AJ52" s="4" t="str">
        <f>MID('Input AC Report '!GX52,45,30)</f>
        <v/>
      </c>
      <c r="AK52" s="4" t="str">
        <f>MID('Input AC Report '!GP52,12,35)</f>
        <v/>
      </c>
      <c r="AM52" s="4">
        <f>'Input AC Report '!A52</f>
        <v>0</v>
      </c>
      <c r="AN52" s="4">
        <f>'Input AC Report '!A52</f>
        <v>0</v>
      </c>
    </row>
    <row r="53" s="4" customFormat="1" spans="1:40">
      <c r="A53" s="4">
        <f>'Input AC Report '!BL53</f>
        <v>0</v>
      </c>
      <c r="B53" s="4">
        <f>'Input AC Report '!G53</f>
        <v>0</v>
      </c>
      <c r="C53" s="4">
        <f>'Input AC Report '!GO53</f>
        <v>0</v>
      </c>
      <c r="D53" s="4" t="str">
        <f t="shared" si="0"/>
        <v>0</v>
      </c>
      <c r="E53" s="32" t="str">
        <f>_xlfn.IFNA(VLOOKUP('Input AC Report '!DU53,Validation!A:B,2,FALSE),"")</f>
        <v/>
      </c>
      <c r="F53" s="32" t="str">
        <f>_xlfn.IFNA(VLOOKUP('Input AC Report '!EQ53,Validation!A:B,2,FALSE),"")</f>
        <v/>
      </c>
      <c r="G53" s="33" t="str">
        <f>_xlfn.IFNA(VLOOKUP('Input AC Report '!I53,Validation!D:E,2,FALSE),"")</f>
        <v/>
      </c>
      <c r="H53" s="4" t="str">
        <f>LEFT('Input AC Report '!I53,2)</f>
        <v/>
      </c>
      <c r="I53" s="4">
        <f>'Input AC Report '!AS53</f>
        <v>0</v>
      </c>
      <c r="J53" s="4">
        <f>'Input AC Report '!AR53</f>
        <v>0</v>
      </c>
      <c r="K53" s="4">
        <f>'Input AC Report '!O53</f>
        <v>0</v>
      </c>
      <c r="L53" s="4">
        <f>'Input AC Report '!N53</f>
        <v>0</v>
      </c>
      <c r="M53" s="34">
        <f>'Input AC Report '!AB53</f>
        <v>0</v>
      </c>
      <c r="N53" s="4">
        <f>'Input AC Report '!W53</f>
        <v>0</v>
      </c>
      <c r="O53" s="4">
        <f>'Input AC Report '!AD53</f>
        <v>0</v>
      </c>
      <c r="P53" s="34">
        <f>'Input AC Report '!AE53</f>
        <v>0</v>
      </c>
      <c r="Q53" s="34">
        <f>'Input AC Report '!AH53</f>
        <v>0</v>
      </c>
      <c r="R53" s="34">
        <f>'Input AC Report '!AG53</f>
        <v>0</v>
      </c>
      <c r="S53" s="34">
        <f>'Input AC Report '!AP53</f>
        <v>0</v>
      </c>
      <c r="T53" s="34">
        <f>'Input AC Report '!AJ53</f>
        <v>0</v>
      </c>
      <c r="U53" s="34">
        <f>'Input AC Report '!AN53</f>
        <v>0</v>
      </c>
      <c r="V53" s="34">
        <f>'Input AC Report '!AO53</f>
        <v>0</v>
      </c>
      <c r="AA53" s="4">
        <f>'Input AC Report '!CI53</f>
        <v>0</v>
      </c>
      <c r="AB53" s="4">
        <f>'Input AC Report '!GX53</f>
        <v>0</v>
      </c>
      <c r="AC53" s="4" t="str">
        <f>_xlfn.IFNA(VLOOKUP('Input AC Report '!CU53,Validation!G:J,2,FALSE),"")</f>
        <v/>
      </c>
      <c r="AD53" s="4">
        <f>'Input AC Report '!X53</f>
        <v>0</v>
      </c>
      <c r="AE53" s="4">
        <f>'Input AC Report '!V53</f>
        <v>0</v>
      </c>
      <c r="AF53" s="4">
        <f>'Input AC Report '!U53</f>
        <v>0</v>
      </c>
      <c r="AG53" s="34">
        <f>'Input AC Report '!S53</f>
        <v>0</v>
      </c>
      <c r="AH53" s="34">
        <f>'Input AC Report '!T53</f>
        <v>0</v>
      </c>
      <c r="AI53" s="4" t="str">
        <f>_xlfn.IFNA(VLOOKUP('Input AC Report '!J53,Validation!J:K,2,FALSE),"")</f>
        <v/>
      </c>
      <c r="AJ53" s="4" t="str">
        <f>MID('Input AC Report '!GX53,45,30)</f>
        <v/>
      </c>
      <c r="AK53" s="4" t="str">
        <f>MID('Input AC Report '!GP53,12,35)</f>
        <v/>
      </c>
      <c r="AM53" s="4">
        <f>'Input AC Report '!A53</f>
        <v>0</v>
      </c>
      <c r="AN53" s="4">
        <f>'Input AC Report '!A53</f>
        <v>0</v>
      </c>
    </row>
    <row r="54" s="4" customFormat="1" spans="1:40">
      <c r="A54" s="4">
        <f>'Input AC Report '!BL54</f>
        <v>0</v>
      </c>
      <c r="B54" s="4">
        <f>'Input AC Report '!G54</f>
        <v>0</v>
      </c>
      <c r="C54" s="4">
        <f>'Input AC Report '!GO54</f>
        <v>0</v>
      </c>
      <c r="D54" s="4" t="str">
        <f t="shared" si="0"/>
        <v>0</v>
      </c>
      <c r="E54" s="32" t="str">
        <f>_xlfn.IFNA(VLOOKUP('Input AC Report '!DU54,Validation!A:B,2,FALSE),"")</f>
        <v/>
      </c>
      <c r="F54" s="32" t="str">
        <f>_xlfn.IFNA(VLOOKUP('Input AC Report '!EQ54,Validation!A:B,2,FALSE),"")</f>
        <v/>
      </c>
      <c r="G54" s="33" t="str">
        <f>_xlfn.IFNA(VLOOKUP('Input AC Report '!I54,Validation!D:E,2,FALSE),"")</f>
        <v/>
      </c>
      <c r="H54" s="4" t="str">
        <f>LEFT('Input AC Report '!I54,2)</f>
        <v/>
      </c>
      <c r="I54" s="4">
        <f>'Input AC Report '!AS54</f>
        <v>0</v>
      </c>
      <c r="J54" s="4">
        <f>'Input AC Report '!AR54</f>
        <v>0</v>
      </c>
      <c r="K54" s="4">
        <f>'Input AC Report '!O54</f>
        <v>0</v>
      </c>
      <c r="L54" s="4">
        <f>'Input AC Report '!N54</f>
        <v>0</v>
      </c>
      <c r="M54" s="34">
        <f>'Input AC Report '!AB54</f>
        <v>0</v>
      </c>
      <c r="N54" s="4">
        <f>'Input AC Report '!W54</f>
        <v>0</v>
      </c>
      <c r="O54" s="4">
        <f>'Input AC Report '!AD54</f>
        <v>0</v>
      </c>
      <c r="P54" s="34">
        <f>'Input AC Report '!AE54</f>
        <v>0</v>
      </c>
      <c r="Q54" s="34">
        <f>'Input AC Report '!AH54</f>
        <v>0</v>
      </c>
      <c r="R54" s="34">
        <f>'Input AC Report '!AG54</f>
        <v>0</v>
      </c>
      <c r="S54" s="34">
        <f>'Input AC Report '!AP54</f>
        <v>0</v>
      </c>
      <c r="T54" s="34">
        <f>'Input AC Report '!AJ54</f>
        <v>0</v>
      </c>
      <c r="U54" s="34">
        <f>'Input AC Report '!AN54</f>
        <v>0</v>
      </c>
      <c r="V54" s="34">
        <f>'Input AC Report '!AO54</f>
        <v>0</v>
      </c>
      <c r="AA54" s="4">
        <f>'Input AC Report '!CI54</f>
        <v>0</v>
      </c>
      <c r="AB54" s="4">
        <f>'Input AC Report '!GX54</f>
        <v>0</v>
      </c>
      <c r="AC54" s="4" t="str">
        <f>_xlfn.IFNA(VLOOKUP('Input AC Report '!CU54,Validation!G:J,2,FALSE),"")</f>
        <v/>
      </c>
      <c r="AD54" s="4">
        <f>'Input AC Report '!X54</f>
        <v>0</v>
      </c>
      <c r="AE54" s="4">
        <f>'Input AC Report '!V54</f>
        <v>0</v>
      </c>
      <c r="AF54" s="4">
        <f>'Input AC Report '!U54</f>
        <v>0</v>
      </c>
      <c r="AG54" s="34">
        <f>'Input AC Report '!S54</f>
        <v>0</v>
      </c>
      <c r="AH54" s="34">
        <f>'Input AC Report '!T54</f>
        <v>0</v>
      </c>
      <c r="AI54" s="4" t="str">
        <f>_xlfn.IFNA(VLOOKUP('Input AC Report '!J54,Validation!J:K,2,FALSE),"")</f>
        <v/>
      </c>
      <c r="AJ54" s="4" t="str">
        <f>MID('Input AC Report '!GX54,45,30)</f>
        <v/>
      </c>
      <c r="AK54" s="4" t="str">
        <f>MID('Input AC Report '!GP54,12,35)</f>
        <v/>
      </c>
      <c r="AM54" s="4">
        <f>'Input AC Report '!A54</f>
        <v>0</v>
      </c>
      <c r="AN54" s="4">
        <f>'Input AC Report '!A54</f>
        <v>0</v>
      </c>
    </row>
  </sheetData>
  <autoFilter xmlns:etc="http://www.wps.cn/officeDocument/2017/etCustomData" ref="A1:AR54" etc:filterBottomFollowUsedRange="0">
    <extLst/>
  </autoFilter>
  <dataValidations count="1">
    <dataValidation type="list" allowBlank="1" showInputMessage="1" showErrorMessage="1" sqref="AP1:AP54">
      <formula1>'CBAM goods category'!$A:$A</formula1>
    </dataValidation>
  </dataValidations>
  <pageMargins left="0.7" right="0.7" top="0.75" bottom="0.75" header="0.3" footer="0.3"/>
  <headerFooter>
    <oddFooter>&amp;C
&amp;1#&amp;"Calibri"&amp;10&amp;K000000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showGridLines="0" tabSelected="1" zoomScale="120" zoomScaleNormal="120" workbookViewId="0">
      <selection activeCell="C4" sqref="C4"/>
    </sheetView>
  </sheetViews>
  <sheetFormatPr defaultColWidth="8.859375" defaultRowHeight="16.8" outlineLevelCol="4"/>
  <cols>
    <col min="2" max="2" width="31.140625" customWidth="1"/>
    <col min="3" max="3" width="37.2890625" customWidth="1"/>
    <col min="4" max="4" width="25.5703125" customWidth="1"/>
    <col min="5" max="5" width="4" customWidth="1"/>
    <col min="6" max="6" width="20.4296875" customWidth="1"/>
  </cols>
  <sheetData>
    <row r="1" spans="1:5">
      <c r="A1" s="8" t="s">
        <v>45</v>
      </c>
      <c r="B1" s="8" t="s">
        <v>46</v>
      </c>
      <c r="C1" s="8" t="s">
        <v>47</v>
      </c>
      <c r="D1" s="8" t="s">
        <v>48</v>
      </c>
      <c r="E1" s="25"/>
    </row>
    <row r="2" spans="1:4">
      <c r="A2" s="9">
        <v>1</v>
      </c>
      <c r="B2" s="10" t="s">
        <v>0</v>
      </c>
      <c r="C2" s="11" t="s">
        <v>49</v>
      </c>
      <c r="D2" s="11" t="s">
        <v>50</v>
      </c>
    </row>
    <row r="3" spans="1:4">
      <c r="A3" s="9">
        <v>2</v>
      </c>
      <c r="B3" s="10" t="s">
        <v>1</v>
      </c>
      <c r="C3" s="11" t="s">
        <v>51</v>
      </c>
      <c r="D3" s="11" t="s">
        <v>50</v>
      </c>
    </row>
    <row r="4" spans="1:4">
      <c r="A4" s="9">
        <v>3</v>
      </c>
      <c r="B4" s="10" t="s">
        <v>2</v>
      </c>
      <c r="C4" s="11" t="s">
        <v>52</v>
      </c>
      <c r="D4" s="11" t="s">
        <v>50</v>
      </c>
    </row>
    <row r="5" ht="55" spans="1:4">
      <c r="A5" s="9">
        <v>3.1</v>
      </c>
      <c r="B5" s="10" t="s">
        <v>3</v>
      </c>
      <c r="C5" s="11" t="s">
        <v>53</v>
      </c>
      <c r="D5" s="11" t="s">
        <v>50</v>
      </c>
    </row>
    <row r="6" spans="1:4">
      <c r="A6" s="9">
        <v>4</v>
      </c>
      <c r="B6" s="12" t="s">
        <v>4</v>
      </c>
      <c r="C6" s="11" t="s">
        <v>54</v>
      </c>
      <c r="D6" s="11" t="s">
        <v>55</v>
      </c>
    </row>
    <row r="7" ht="28" spans="1:4">
      <c r="A7" s="9">
        <v>5</v>
      </c>
      <c r="B7" s="10" t="s">
        <v>5</v>
      </c>
      <c r="C7" s="11" t="s">
        <v>56</v>
      </c>
      <c r="D7" s="11" t="s">
        <v>55</v>
      </c>
    </row>
    <row r="8" spans="1:4">
      <c r="A8" s="9">
        <v>6</v>
      </c>
      <c r="B8" s="12" t="s">
        <v>6</v>
      </c>
      <c r="C8" s="11" t="s">
        <v>57</v>
      </c>
      <c r="D8" s="11" t="s">
        <v>50</v>
      </c>
    </row>
    <row r="9" ht="28" spans="1:4">
      <c r="A9" s="9">
        <v>7</v>
      </c>
      <c r="B9" s="10" t="s">
        <v>7</v>
      </c>
      <c r="C9" s="11" t="s">
        <v>58</v>
      </c>
      <c r="D9" s="11" t="s">
        <v>50</v>
      </c>
    </row>
    <row r="10" spans="1:4">
      <c r="A10" s="9">
        <v>8</v>
      </c>
      <c r="B10" s="10" t="s">
        <v>8</v>
      </c>
      <c r="C10" s="11" t="s">
        <v>59</v>
      </c>
      <c r="D10" s="11" t="s">
        <v>50</v>
      </c>
    </row>
    <row r="11" ht="28" spans="1:4">
      <c r="A11" s="9">
        <v>9</v>
      </c>
      <c r="B11" s="10" t="s">
        <v>9</v>
      </c>
      <c r="C11" s="11" t="s">
        <v>60</v>
      </c>
      <c r="D11" s="11" t="s">
        <v>50</v>
      </c>
    </row>
    <row r="12" ht="28" spans="1:4">
      <c r="A12" s="9">
        <v>10</v>
      </c>
      <c r="B12" s="10" t="s">
        <v>10</v>
      </c>
      <c r="C12" s="11" t="s">
        <v>61</v>
      </c>
      <c r="D12" s="11" t="s">
        <v>50</v>
      </c>
    </row>
    <row r="13" ht="28" spans="1:4">
      <c r="A13" s="9">
        <v>11</v>
      </c>
      <c r="B13" s="12" t="s">
        <v>11</v>
      </c>
      <c r="C13" s="11" t="s">
        <v>62</v>
      </c>
      <c r="D13" s="11" t="s">
        <v>50</v>
      </c>
    </row>
    <row r="14" spans="1:4">
      <c r="A14" s="9">
        <v>12</v>
      </c>
      <c r="B14" s="12" t="s">
        <v>12</v>
      </c>
      <c r="C14" s="11" t="s">
        <v>63</v>
      </c>
      <c r="D14" s="11" t="s">
        <v>64</v>
      </c>
    </row>
    <row r="15" spans="1:4">
      <c r="A15" s="9">
        <v>13</v>
      </c>
      <c r="B15" s="10" t="s">
        <v>13</v>
      </c>
      <c r="C15" s="11" t="s">
        <v>65</v>
      </c>
      <c r="D15" s="11" t="s">
        <v>50</v>
      </c>
    </row>
    <row r="16" spans="1:4">
      <c r="A16" s="9">
        <v>14</v>
      </c>
      <c r="B16" s="12" t="s">
        <v>14</v>
      </c>
      <c r="C16" s="11" t="s">
        <v>66</v>
      </c>
      <c r="D16" s="11" t="s">
        <v>50</v>
      </c>
    </row>
    <row r="17" ht="28" spans="1:4">
      <c r="A17" s="9">
        <v>15</v>
      </c>
      <c r="B17" s="12" t="s">
        <v>15</v>
      </c>
      <c r="C17" s="11" t="s">
        <v>67</v>
      </c>
      <c r="D17" s="11" t="s">
        <v>64</v>
      </c>
    </row>
    <row r="18" spans="1:4">
      <c r="A18" s="9">
        <v>16</v>
      </c>
      <c r="B18" s="10" t="s">
        <v>16</v>
      </c>
      <c r="C18" s="11" t="s">
        <v>68</v>
      </c>
      <c r="D18" s="11" t="s">
        <v>64</v>
      </c>
    </row>
    <row r="19" spans="1:4">
      <c r="A19" s="13">
        <v>17</v>
      </c>
      <c r="B19" s="14" t="s">
        <v>17</v>
      </c>
      <c r="C19" s="15" t="s">
        <v>66</v>
      </c>
      <c r="D19" s="15" t="s">
        <v>64</v>
      </c>
    </row>
    <row r="20" spans="1:4">
      <c r="A20" s="9">
        <v>18</v>
      </c>
      <c r="B20" s="12" t="s">
        <v>18</v>
      </c>
      <c r="C20" s="11" t="s">
        <v>69</v>
      </c>
      <c r="D20" s="11" t="s">
        <v>64</v>
      </c>
    </row>
    <row r="21" spans="1:4">
      <c r="A21" s="9">
        <v>19</v>
      </c>
      <c r="B21" s="10" t="s">
        <v>70</v>
      </c>
      <c r="C21" s="11" t="s">
        <v>71</v>
      </c>
      <c r="D21" s="11" t="s">
        <v>64</v>
      </c>
    </row>
    <row r="22" ht="28" spans="1:4">
      <c r="A22" s="9">
        <v>20</v>
      </c>
      <c r="B22" s="12" t="s">
        <v>72</v>
      </c>
      <c r="C22" s="11" t="s">
        <v>73</v>
      </c>
      <c r="D22" s="11" t="s">
        <v>64</v>
      </c>
    </row>
    <row r="23" spans="1:4">
      <c r="A23" s="9">
        <v>21</v>
      </c>
      <c r="B23" s="12" t="s">
        <v>74</v>
      </c>
      <c r="C23" s="11" t="s">
        <v>75</v>
      </c>
      <c r="D23" s="11" t="s">
        <v>64</v>
      </c>
    </row>
    <row r="24" spans="1:4">
      <c r="A24" s="9">
        <v>22</v>
      </c>
      <c r="B24" s="10" t="s">
        <v>76</v>
      </c>
      <c r="C24" s="11" t="s">
        <v>77</v>
      </c>
      <c r="D24" s="11" t="s">
        <v>64</v>
      </c>
    </row>
    <row r="25" ht="28" spans="1:4">
      <c r="A25" s="9">
        <v>23</v>
      </c>
      <c r="B25" s="12" t="s">
        <v>78</v>
      </c>
      <c r="C25" s="11" t="s">
        <v>79</v>
      </c>
      <c r="D25" s="11" t="s">
        <v>64</v>
      </c>
    </row>
    <row r="26" spans="1:4">
      <c r="A26" s="9">
        <v>24</v>
      </c>
      <c r="B26" s="12" t="s">
        <v>24</v>
      </c>
      <c r="C26" s="11" t="s">
        <v>80</v>
      </c>
      <c r="D26" s="11" t="s">
        <v>64</v>
      </c>
    </row>
    <row r="27" ht="28" spans="1:4">
      <c r="A27" s="9">
        <v>25</v>
      </c>
      <c r="B27" s="12" t="s">
        <v>25</v>
      </c>
      <c r="C27" s="11" t="s">
        <v>81</v>
      </c>
      <c r="D27" s="11" t="s">
        <v>50</v>
      </c>
    </row>
    <row r="28" spans="1:4">
      <c r="A28" s="9">
        <v>26</v>
      </c>
      <c r="B28" s="12" t="s">
        <v>26</v>
      </c>
      <c r="C28" s="11" t="s">
        <v>82</v>
      </c>
      <c r="D28" s="11" t="s">
        <v>50</v>
      </c>
    </row>
    <row r="29" ht="28" spans="1:4">
      <c r="A29" s="9">
        <v>27</v>
      </c>
      <c r="B29" s="10" t="s">
        <v>27</v>
      </c>
      <c r="C29" s="11" t="s">
        <v>83</v>
      </c>
      <c r="D29" s="11" t="s">
        <v>50</v>
      </c>
    </row>
    <row r="30" ht="28" spans="1:4">
      <c r="A30" s="9">
        <v>28</v>
      </c>
      <c r="B30" s="12" t="s">
        <v>28</v>
      </c>
      <c r="C30" s="11" t="s">
        <v>84</v>
      </c>
      <c r="D30" s="11" t="s">
        <v>50</v>
      </c>
    </row>
    <row r="31" ht="28" spans="1:4">
      <c r="A31" s="9">
        <v>29</v>
      </c>
      <c r="B31" s="12" t="s">
        <v>29</v>
      </c>
      <c r="C31" s="11" t="s">
        <v>85</v>
      </c>
      <c r="D31" s="11" t="s">
        <v>50</v>
      </c>
    </row>
    <row r="32" spans="1:4">
      <c r="A32" s="9">
        <v>30</v>
      </c>
      <c r="B32" s="12" t="s">
        <v>30</v>
      </c>
      <c r="C32" s="11" t="s">
        <v>86</v>
      </c>
      <c r="D32" s="11" t="s">
        <v>64</v>
      </c>
    </row>
    <row r="33" spans="1:4">
      <c r="A33" s="9">
        <v>31</v>
      </c>
      <c r="B33" s="12" t="s">
        <v>31</v>
      </c>
      <c r="C33" s="11" t="s">
        <v>87</v>
      </c>
      <c r="D33" s="11" t="s">
        <v>50</v>
      </c>
    </row>
    <row r="34" spans="1:4">
      <c r="A34" s="9">
        <v>32</v>
      </c>
      <c r="B34" s="12" t="s">
        <v>32</v>
      </c>
      <c r="C34" s="11" t="s">
        <v>88</v>
      </c>
      <c r="D34" s="11" t="s">
        <v>64</v>
      </c>
    </row>
    <row r="35" spans="1:4">
      <c r="A35" s="9">
        <v>33</v>
      </c>
      <c r="B35" s="12" t="s">
        <v>33</v>
      </c>
      <c r="C35" s="11" t="s">
        <v>89</v>
      </c>
      <c r="D35" s="11" t="s">
        <v>64</v>
      </c>
    </row>
    <row r="36" ht="28" spans="1:4">
      <c r="A36" s="9">
        <v>34</v>
      </c>
      <c r="B36" s="12" t="s">
        <v>34</v>
      </c>
      <c r="C36" s="11" t="s">
        <v>90</v>
      </c>
      <c r="D36" s="11" t="s">
        <v>50</v>
      </c>
    </row>
    <row r="37" spans="1:4">
      <c r="A37" s="9">
        <v>35</v>
      </c>
      <c r="B37" s="10" t="s">
        <v>35</v>
      </c>
      <c r="C37" s="16" t="s">
        <v>91</v>
      </c>
      <c r="D37" s="11" t="s">
        <v>50</v>
      </c>
    </row>
    <row r="38" spans="1:4">
      <c r="A38" s="9">
        <v>36</v>
      </c>
      <c r="B38" s="10" t="s">
        <v>36</v>
      </c>
      <c r="C38" s="16" t="s">
        <v>92</v>
      </c>
      <c r="D38" s="11" t="s">
        <v>50</v>
      </c>
    </row>
    <row r="39" spans="1:4">
      <c r="A39" s="9">
        <v>37</v>
      </c>
      <c r="B39" s="10" t="s">
        <v>37</v>
      </c>
      <c r="C39" s="4" t="s">
        <v>93</v>
      </c>
      <c r="D39" s="11" t="s">
        <v>50</v>
      </c>
    </row>
    <row r="40" spans="1:4">
      <c r="A40" s="9">
        <v>38</v>
      </c>
      <c r="B40" s="10" t="s">
        <v>38</v>
      </c>
      <c r="C40" s="4" t="s">
        <v>94</v>
      </c>
      <c r="D40" s="11" t="s">
        <v>50</v>
      </c>
    </row>
    <row r="41" spans="1:4">
      <c r="A41" s="9">
        <v>39</v>
      </c>
      <c r="B41" s="17" t="s">
        <v>39</v>
      </c>
      <c r="C41" s="4" t="s">
        <v>95</v>
      </c>
      <c r="D41" s="11" t="s">
        <v>50</v>
      </c>
    </row>
    <row r="42" ht="28" spans="1:4">
      <c r="A42" s="9">
        <v>40</v>
      </c>
      <c r="B42" s="10" t="s">
        <v>96</v>
      </c>
      <c r="C42" s="7" t="s">
        <v>97</v>
      </c>
      <c r="D42" s="11" t="s">
        <v>50</v>
      </c>
    </row>
    <row r="43" ht="42.75" customHeight="1" spans="1:4">
      <c r="A43" s="9">
        <v>41</v>
      </c>
      <c r="B43" s="17" t="s">
        <v>41</v>
      </c>
      <c r="C43" s="11" t="s">
        <v>98</v>
      </c>
      <c r="D43" s="11" t="s">
        <v>50</v>
      </c>
    </row>
    <row r="44" ht="28" spans="1:4">
      <c r="A44" s="9">
        <v>42</v>
      </c>
      <c r="B44" s="10" t="s">
        <v>99</v>
      </c>
      <c r="C44" s="4" t="s">
        <v>100</v>
      </c>
      <c r="D44" s="11" t="s">
        <v>50</v>
      </c>
    </row>
    <row r="45" spans="1:4">
      <c r="A45" s="9">
        <v>43</v>
      </c>
      <c r="B45" s="10" t="s">
        <v>101</v>
      </c>
      <c r="C45" s="4" t="s">
        <v>102</v>
      </c>
      <c r="D45" s="11" t="s">
        <v>50</v>
      </c>
    </row>
    <row r="46" spans="1:4">
      <c r="A46" s="9">
        <v>44</v>
      </c>
      <c r="B46" s="18" t="s">
        <v>103</v>
      </c>
      <c r="C46" s="16" t="s">
        <v>104</v>
      </c>
      <c r="D46" s="11" t="s">
        <v>105</v>
      </c>
    </row>
    <row r="47" ht="17.55"/>
    <row r="48" ht="17.55" spans="1:1">
      <c r="A48" s="19" t="s">
        <v>106</v>
      </c>
    </row>
    <row r="49" spans="1:1">
      <c r="A49" s="20" t="s">
        <v>107</v>
      </c>
    </row>
    <row r="51" spans="1:4">
      <c r="A51" s="21" t="s">
        <v>108</v>
      </c>
      <c r="B51" s="21" t="s">
        <v>55</v>
      </c>
      <c r="C51" s="21" t="s">
        <v>109</v>
      </c>
      <c r="D51" s="21" t="s">
        <v>110</v>
      </c>
    </row>
    <row r="52" spans="1:4">
      <c r="A52" s="22">
        <v>1</v>
      </c>
      <c r="B52" s="23">
        <v>45243</v>
      </c>
      <c r="C52" s="24" t="s">
        <v>111</v>
      </c>
      <c r="D52" s="24"/>
    </row>
    <row r="53" spans="1:4">
      <c r="A53" s="22">
        <v>2</v>
      </c>
      <c r="B53" s="23">
        <v>45261</v>
      </c>
      <c r="C53" s="24" t="s">
        <v>112</v>
      </c>
      <c r="D53" s="24"/>
    </row>
  </sheetData>
  <pageMargins left="0.7" right="0.7" top="0.75" bottom="0.75" header="0.3" footer="0.3"/>
  <pageSetup paperSize="9" orientation="portrait" horizontalDpi="300"/>
  <headerFooter>
    <oddFooter>&amp;C
&amp;1#&amp;"Calibri"&amp;10&amp;K000000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IN13"/>
  <sheetViews>
    <sheetView workbookViewId="0">
      <selection activeCell="D20" sqref="D20"/>
    </sheetView>
  </sheetViews>
  <sheetFormatPr defaultColWidth="9" defaultRowHeight="16.8"/>
  <cols>
    <col min="9" max="9" width="12.140625" customWidth="1"/>
    <col min="46" max="46" width="21.4296875" customWidth="1"/>
    <col min="161" max="164" width="13.140625" customWidth="1"/>
    <col min="183" max="183" width="12.2890625" customWidth="1"/>
    <col min="184" max="184" width="12.140625" customWidth="1"/>
  </cols>
  <sheetData>
    <row r="1" spans="1:223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  <c r="BL1" t="s">
        <v>176</v>
      </c>
      <c r="BM1" t="s">
        <v>177</v>
      </c>
      <c r="BN1" t="s">
        <v>178</v>
      </c>
      <c r="BO1" t="s">
        <v>179</v>
      </c>
      <c r="BP1" t="s">
        <v>180</v>
      </c>
      <c r="BQ1" t="s">
        <v>181</v>
      </c>
      <c r="BR1" t="s">
        <v>182</v>
      </c>
      <c r="BS1" t="s">
        <v>183</v>
      </c>
      <c r="BT1" t="s">
        <v>184</v>
      </c>
      <c r="BU1" t="s">
        <v>185</v>
      </c>
      <c r="BV1" t="s">
        <v>186</v>
      </c>
      <c r="BW1" t="s">
        <v>187</v>
      </c>
      <c r="BX1" t="s">
        <v>188</v>
      </c>
      <c r="BY1" t="s">
        <v>189</v>
      </c>
      <c r="BZ1" t="s">
        <v>190</v>
      </c>
      <c r="CA1" t="s">
        <v>191</v>
      </c>
      <c r="CB1" t="s">
        <v>192</v>
      </c>
      <c r="CC1" t="s">
        <v>193</v>
      </c>
      <c r="CD1" t="s">
        <v>194</v>
      </c>
      <c r="CE1" t="s">
        <v>195</v>
      </c>
      <c r="CF1" t="s">
        <v>196</v>
      </c>
      <c r="CG1" t="s">
        <v>197</v>
      </c>
      <c r="CH1" t="s">
        <v>198</v>
      </c>
      <c r="CI1" t="s">
        <v>199</v>
      </c>
      <c r="CJ1" t="s">
        <v>200</v>
      </c>
      <c r="CK1" t="s">
        <v>201</v>
      </c>
      <c r="CL1" t="s">
        <v>202</v>
      </c>
      <c r="CM1" t="s">
        <v>203</v>
      </c>
      <c r="CN1" t="s">
        <v>204</v>
      </c>
      <c r="CO1" t="s">
        <v>205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  <c r="CW1" t="s">
        <v>213</v>
      </c>
      <c r="CX1" t="s">
        <v>214</v>
      </c>
      <c r="CY1" t="s">
        <v>215</v>
      </c>
      <c r="CZ1" t="s">
        <v>216</v>
      </c>
      <c r="DA1" t="s">
        <v>217</v>
      </c>
      <c r="DB1" t="s">
        <v>218</v>
      </c>
      <c r="DC1" t="s">
        <v>219</v>
      </c>
      <c r="DD1" t="s">
        <v>220</v>
      </c>
      <c r="DE1" t="s">
        <v>221</v>
      </c>
      <c r="DF1" t="s">
        <v>222</v>
      </c>
      <c r="DG1" t="s">
        <v>223</v>
      </c>
      <c r="DH1" t="s">
        <v>224</v>
      </c>
      <c r="DI1" t="s">
        <v>225</v>
      </c>
      <c r="DJ1" t="s">
        <v>226</v>
      </c>
      <c r="DK1" t="s">
        <v>227</v>
      </c>
      <c r="DL1" t="s">
        <v>228</v>
      </c>
      <c r="DM1" t="s">
        <v>229</v>
      </c>
      <c r="DN1" t="s">
        <v>230</v>
      </c>
      <c r="DO1" t="s">
        <v>231</v>
      </c>
      <c r="DP1" t="s">
        <v>232</v>
      </c>
      <c r="DQ1" t="s">
        <v>233</v>
      </c>
      <c r="DR1" t="s">
        <v>234</v>
      </c>
      <c r="DS1" t="s">
        <v>235</v>
      </c>
      <c r="DT1" t="s">
        <v>236</v>
      </c>
      <c r="DU1" t="s">
        <v>237</v>
      </c>
      <c r="DV1" t="s">
        <v>238</v>
      </c>
      <c r="DW1" t="s">
        <v>239</v>
      </c>
      <c r="DX1" t="s">
        <v>240</v>
      </c>
      <c r="DY1" t="s">
        <v>241</v>
      </c>
      <c r="DZ1" t="s">
        <v>242</v>
      </c>
      <c r="EA1" t="s">
        <v>243</v>
      </c>
      <c r="EB1" t="s">
        <v>244</v>
      </c>
      <c r="EC1" t="s">
        <v>245</v>
      </c>
      <c r="ED1" t="s">
        <v>246</v>
      </c>
      <c r="EE1" t="s">
        <v>247</v>
      </c>
      <c r="EF1" t="s">
        <v>248</v>
      </c>
      <c r="EG1" t="s">
        <v>249</v>
      </c>
      <c r="EH1" t="s">
        <v>250</v>
      </c>
      <c r="EI1" t="s">
        <v>251</v>
      </c>
      <c r="EJ1" t="s">
        <v>252</v>
      </c>
      <c r="EK1" t="s">
        <v>253</v>
      </c>
      <c r="EL1" t="s">
        <v>254</v>
      </c>
      <c r="EM1" t="s">
        <v>255</v>
      </c>
      <c r="EN1" t="s">
        <v>256</v>
      </c>
      <c r="EO1" t="s">
        <v>257</v>
      </c>
      <c r="EP1" t="s">
        <v>258</v>
      </c>
      <c r="EQ1" t="s">
        <v>259</v>
      </c>
      <c r="ER1" t="s">
        <v>260</v>
      </c>
      <c r="ES1" t="s">
        <v>261</v>
      </c>
      <c r="ET1" t="s">
        <v>262</v>
      </c>
      <c r="EU1" t="s">
        <v>263</v>
      </c>
      <c r="EV1" t="s">
        <v>264</v>
      </c>
      <c r="EW1" t="s">
        <v>265</v>
      </c>
      <c r="EX1" t="s">
        <v>266</v>
      </c>
      <c r="EY1" t="s">
        <v>267</v>
      </c>
      <c r="EZ1" t="s">
        <v>268</v>
      </c>
      <c r="FA1" t="s">
        <v>269</v>
      </c>
      <c r="FB1" t="s">
        <v>270</v>
      </c>
      <c r="FC1" t="s">
        <v>271</v>
      </c>
      <c r="FD1" t="s">
        <v>272</v>
      </c>
      <c r="FE1" t="s">
        <v>273</v>
      </c>
      <c r="FF1" t="s">
        <v>274</v>
      </c>
      <c r="FG1" t="s">
        <v>275</v>
      </c>
      <c r="FH1" t="s">
        <v>276</v>
      </c>
      <c r="FI1" t="s">
        <v>277</v>
      </c>
      <c r="FJ1" t="s">
        <v>278</v>
      </c>
      <c r="FK1" t="s">
        <v>279</v>
      </c>
      <c r="FL1" t="s">
        <v>280</v>
      </c>
      <c r="FM1" t="s">
        <v>281</v>
      </c>
      <c r="FN1" t="s">
        <v>282</v>
      </c>
      <c r="FO1" t="s">
        <v>280</v>
      </c>
      <c r="FP1" t="s">
        <v>281</v>
      </c>
      <c r="FQ1" t="s">
        <v>282</v>
      </c>
      <c r="FR1" t="s">
        <v>283</v>
      </c>
      <c r="FS1" t="s">
        <v>284</v>
      </c>
      <c r="FT1" t="s">
        <v>285</v>
      </c>
      <c r="FU1" t="s">
        <v>286</v>
      </c>
      <c r="FV1" t="s">
        <v>287</v>
      </c>
      <c r="FW1" t="s">
        <v>288</v>
      </c>
      <c r="FX1" t="s">
        <v>289</v>
      </c>
      <c r="FY1" t="s">
        <v>290</v>
      </c>
      <c r="FZ1" t="s">
        <v>291</v>
      </c>
      <c r="GA1" t="s">
        <v>292</v>
      </c>
      <c r="GB1" t="s">
        <v>293</v>
      </c>
      <c r="GC1" t="s">
        <v>294</v>
      </c>
      <c r="GD1" t="s">
        <v>295</v>
      </c>
      <c r="GE1" t="s">
        <v>296</v>
      </c>
      <c r="GF1" t="s">
        <v>297</v>
      </c>
      <c r="GG1" t="s">
        <v>298</v>
      </c>
      <c r="GH1" t="s">
        <v>299</v>
      </c>
      <c r="GI1" t="s">
        <v>300</v>
      </c>
      <c r="GJ1" t="s">
        <v>301</v>
      </c>
      <c r="GK1" t="s">
        <v>302</v>
      </c>
      <c r="GL1" t="s">
        <v>303</v>
      </c>
      <c r="GM1" t="s">
        <v>304</v>
      </c>
      <c r="GN1" t="s">
        <v>305</v>
      </c>
      <c r="GO1" t="s">
        <v>306</v>
      </c>
      <c r="GP1" t="s">
        <v>307</v>
      </c>
      <c r="GQ1" t="s">
        <v>308</v>
      </c>
      <c r="GR1" t="s">
        <v>309</v>
      </c>
      <c r="GS1" t="s">
        <v>310</v>
      </c>
      <c r="GT1" t="s">
        <v>311</v>
      </c>
      <c r="GU1" t="s">
        <v>312</v>
      </c>
      <c r="GV1" t="s">
        <v>313</v>
      </c>
      <c r="GW1" t="s">
        <v>314</v>
      </c>
      <c r="GX1" t="s">
        <v>315</v>
      </c>
      <c r="GY1" t="s">
        <v>316</v>
      </c>
      <c r="GZ1" t="s">
        <v>317</v>
      </c>
      <c r="HA1" t="s">
        <v>318</v>
      </c>
      <c r="HB1" t="s">
        <v>319</v>
      </c>
      <c r="HC1" t="s">
        <v>320</v>
      </c>
      <c r="HD1" t="s">
        <v>321</v>
      </c>
      <c r="HE1" t="s">
        <v>322</v>
      </c>
      <c r="HF1" t="s">
        <v>323</v>
      </c>
      <c r="HG1" t="s">
        <v>324</v>
      </c>
      <c r="HH1" t="s">
        <v>325</v>
      </c>
      <c r="HI1" t="s">
        <v>326</v>
      </c>
      <c r="HJ1" t="s">
        <v>327</v>
      </c>
      <c r="HK1" t="s">
        <v>328</v>
      </c>
      <c r="HL1" t="s">
        <v>329</v>
      </c>
      <c r="HM1" t="s">
        <v>330</v>
      </c>
      <c r="HN1" t="s">
        <v>331</v>
      </c>
      <c r="HO1" t="s">
        <v>332</v>
      </c>
    </row>
    <row r="2" spans="1:248">
      <c r="A2" t="s">
        <v>333</v>
      </c>
      <c r="B2" t="s">
        <v>334</v>
      </c>
      <c r="C2" t="s">
        <v>333</v>
      </c>
      <c r="D2">
        <v>3</v>
      </c>
      <c r="E2">
        <v>3</v>
      </c>
      <c r="F2">
        <v>3</v>
      </c>
      <c r="G2">
        <v>1</v>
      </c>
      <c r="H2" t="s">
        <v>335</v>
      </c>
      <c r="I2" t="s">
        <v>336</v>
      </c>
      <c r="J2">
        <v>4000</v>
      </c>
      <c r="K2">
        <v>11</v>
      </c>
      <c r="L2" t="s">
        <v>337</v>
      </c>
      <c r="M2" t="s">
        <v>338</v>
      </c>
      <c r="N2" t="s">
        <v>339</v>
      </c>
      <c r="O2">
        <v>85371098990</v>
      </c>
      <c r="S2">
        <v>385</v>
      </c>
      <c r="T2">
        <v>405</v>
      </c>
      <c r="U2" t="s">
        <v>340</v>
      </c>
      <c r="V2">
        <v>2</v>
      </c>
      <c r="W2" t="s">
        <v>341</v>
      </c>
      <c r="X2" t="s">
        <v>342</v>
      </c>
      <c r="Y2" t="s">
        <v>343</v>
      </c>
      <c r="AB2">
        <v>87121.92</v>
      </c>
      <c r="AC2">
        <v>87121.92</v>
      </c>
      <c r="AD2" t="s">
        <v>344</v>
      </c>
      <c r="AE2">
        <v>1.0897</v>
      </c>
      <c r="AF2">
        <v>-175.51</v>
      </c>
      <c r="AG2" t="s">
        <v>344</v>
      </c>
      <c r="AH2">
        <v>79913.23</v>
      </c>
      <c r="AI2">
        <v>2.1</v>
      </c>
      <c r="AJ2">
        <v>2.1</v>
      </c>
      <c r="AK2">
        <v>1678.18</v>
      </c>
      <c r="AL2">
        <v>161.06</v>
      </c>
      <c r="AM2">
        <v>81752.47</v>
      </c>
      <c r="AN2">
        <v>81752.47</v>
      </c>
      <c r="AO2">
        <v>15532.97</v>
      </c>
      <c r="AP2">
        <v>1678.18</v>
      </c>
      <c r="AQ2">
        <v>15532.97</v>
      </c>
      <c r="AR2" t="s">
        <v>345</v>
      </c>
      <c r="AS2" t="s">
        <v>345</v>
      </c>
      <c r="AT2">
        <v>20250401</v>
      </c>
      <c r="BA2" t="s">
        <v>346</v>
      </c>
      <c r="BG2" t="s">
        <v>347</v>
      </c>
      <c r="BJ2">
        <v>4</v>
      </c>
      <c r="BL2" t="s">
        <v>348</v>
      </c>
      <c r="BP2">
        <v>100</v>
      </c>
      <c r="BQ2">
        <v>0</v>
      </c>
      <c r="BR2" t="s">
        <v>349</v>
      </c>
      <c r="BV2">
        <v>1</v>
      </c>
      <c r="BZ2" t="s">
        <v>336</v>
      </c>
      <c r="CA2" t="s">
        <v>350</v>
      </c>
      <c r="CC2" t="s">
        <v>351</v>
      </c>
      <c r="CE2" t="s">
        <v>351</v>
      </c>
      <c r="CH2">
        <v>20250318</v>
      </c>
      <c r="CI2" t="s">
        <v>352</v>
      </c>
      <c r="CL2">
        <v>797.78</v>
      </c>
      <c r="CM2" t="s">
        <v>344</v>
      </c>
      <c r="CN2">
        <v>135.04</v>
      </c>
      <c r="CO2" t="s">
        <v>344</v>
      </c>
      <c r="CS2">
        <v>4</v>
      </c>
      <c r="CT2" t="s">
        <v>353</v>
      </c>
      <c r="CU2" t="s">
        <v>354</v>
      </c>
      <c r="CV2">
        <v>4</v>
      </c>
      <c r="CZ2">
        <v>2.1</v>
      </c>
      <c r="DG2" t="s">
        <v>355</v>
      </c>
      <c r="DH2" t="s">
        <v>344</v>
      </c>
      <c r="DK2">
        <v>19</v>
      </c>
      <c r="DL2">
        <v>5</v>
      </c>
      <c r="DQ2">
        <v>0</v>
      </c>
      <c r="DR2">
        <v>0</v>
      </c>
      <c r="DU2">
        <v>20250330</v>
      </c>
      <c r="DZ2">
        <v>0</v>
      </c>
      <c r="EB2">
        <v>19</v>
      </c>
      <c r="ED2">
        <v>0</v>
      </c>
      <c r="EI2">
        <v>20250401</v>
      </c>
      <c r="EQ2">
        <v>20250401</v>
      </c>
      <c r="FE2" t="s">
        <v>356</v>
      </c>
      <c r="FF2">
        <v>20123</v>
      </c>
      <c r="FG2" t="s">
        <v>356</v>
      </c>
      <c r="FH2">
        <v>30441</v>
      </c>
      <c r="FR2">
        <v>1678.18</v>
      </c>
      <c r="FS2">
        <v>0</v>
      </c>
      <c r="GA2" t="s">
        <v>357</v>
      </c>
      <c r="GB2" t="s">
        <v>358</v>
      </c>
      <c r="GC2" t="s">
        <v>359</v>
      </c>
      <c r="GO2" t="s">
        <v>360</v>
      </c>
      <c r="GP2" t="s">
        <v>360</v>
      </c>
      <c r="GX2" t="s">
        <v>361</v>
      </c>
      <c r="GZ2">
        <v>1</v>
      </c>
      <c r="HJ2">
        <v>20250401</v>
      </c>
      <c r="HN2" t="s">
        <v>362</v>
      </c>
      <c r="HP2" t="s">
        <v>363</v>
      </c>
      <c r="HT2" t="s">
        <v>364</v>
      </c>
      <c r="HU2">
        <v>6410008089</v>
      </c>
      <c r="HV2" t="s">
        <v>360</v>
      </c>
      <c r="HY2" t="s">
        <v>365</v>
      </c>
      <c r="IC2">
        <v>797.78</v>
      </c>
      <c r="ID2">
        <v>0</v>
      </c>
      <c r="IE2" t="s">
        <v>335</v>
      </c>
      <c r="IF2">
        <v>78</v>
      </c>
      <c r="IG2" t="s">
        <v>366</v>
      </c>
      <c r="IH2">
        <v>0.917684</v>
      </c>
      <c r="II2">
        <v>3</v>
      </c>
      <c r="IM2">
        <v>0.155</v>
      </c>
      <c r="IN2" t="s">
        <v>367</v>
      </c>
    </row>
    <row r="3" spans="1:248">
      <c r="A3" t="s">
        <v>368</v>
      </c>
      <c r="B3" t="s">
        <v>369</v>
      </c>
      <c r="C3" t="s">
        <v>368</v>
      </c>
      <c r="D3">
        <v>3</v>
      </c>
      <c r="E3">
        <v>3</v>
      </c>
      <c r="F3">
        <v>3</v>
      </c>
      <c r="G3">
        <v>1</v>
      </c>
      <c r="H3" t="s">
        <v>370</v>
      </c>
      <c r="I3" t="s">
        <v>371</v>
      </c>
      <c r="J3">
        <v>4000</v>
      </c>
      <c r="K3">
        <v>11</v>
      </c>
      <c r="L3" t="s">
        <v>337</v>
      </c>
      <c r="N3" t="s">
        <v>372</v>
      </c>
      <c r="O3">
        <v>85340011000</v>
      </c>
      <c r="S3">
        <v>118.2</v>
      </c>
      <c r="T3">
        <v>126.2</v>
      </c>
      <c r="U3" t="s">
        <v>340</v>
      </c>
      <c r="V3">
        <v>8</v>
      </c>
      <c r="W3" t="s">
        <v>373</v>
      </c>
      <c r="X3" t="s">
        <v>342</v>
      </c>
      <c r="Y3" t="s">
        <v>374</v>
      </c>
      <c r="AB3">
        <v>3773.39</v>
      </c>
      <c r="AC3">
        <v>3773.39</v>
      </c>
      <c r="AD3" t="s">
        <v>375</v>
      </c>
      <c r="AE3">
        <v>1</v>
      </c>
      <c r="AF3">
        <v>-1830</v>
      </c>
      <c r="AG3" t="s">
        <v>375</v>
      </c>
      <c r="AH3">
        <v>1943.39</v>
      </c>
      <c r="AI3">
        <v>0</v>
      </c>
      <c r="AJ3">
        <v>0</v>
      </c>
      <c r="AK3">
        <v>0</v>
      </c>
      <c r="AL3">
        <v>1830</v>
      </c>
      <c r="AM3">
        <v>3773.39</v>
      </c>
      <c r="AN3">
        <v>3773.39</v>
      </c>
      <c r="AO3">
        <v>716.94</v>
      </c>
      <c r="AP3">
        <v>0</v>
      </c>
      <c r="AQ3">
        <v>716.94</v>
      </c>
      <c r="AR3" t="s">
        <v>376</v>
      </c>
      <c r="AS3" t="s">
        <v>377</v>
      </c>
      <c r="AT3">
        <v>20250410</v>
      </c>
      <c r="BA3" t="s">
        <v>346</v>
      </c>
      <c r="BG3" t="s">
        <v>378</v>
      </c>
      <c r="BJ3">
        <v>4</v>
      </c>
      <c r="BL3" t="s">
        <v>379</v>
      </c>
      <c r="BM3" t="s">
        <v>380</v>
      </c>
      <c r="BP3">
        <v>100</v>
      </c>
      <c r="BQ3">
        <v>0</v>
      </c>
      <c r="BR3" t="s">
        <v>349</v>
      </c>
      <c r="BV3">
        <v>1</v>
      </c>
      <c r="BY3" t="s">
        <v>381</v>
      </c>
      <c r="BZ3" t="s">
        <v>371</v>
      </c>
      <c r="CA3" t="s">
        <v>382</v>
      </c>
      <c r="CC3" t="s">
        <v>351</v>
      </c>
      <c r="CE3" t="s">
        <v>351</v>
      </c>
      <c r="CH3">
        <v>20250403</v>
      </c>
      <c r="CI3" t="s">
        <v>383</v>
      </c>
      <c r="CL3">
        <v>6100</v>
      </c>
      <c r="CM3" t="s">
        <v>375</v>
      </c>
      <c r="CN3">
        <v>0</v>
      </c>
      <c r="CO3" t="s">
        <v>375</v>
      </c>
      <c r="CS3">
        <v>4</v>
      </c>
      <c r="CT3" t="s">
        <v>377</v>
      </c>
      <c r="CU3" t="s">
        <v>354</v>
      </c>
      <c r="CV3">
        <v>4</v>
      </c>
      <c r="CZ3">
        <v>0</v>
      </c>
      <c r="DG3" t="s">
        <v>355</v>
      </c>
      <c r="DH3" t="s">
        <v>375</v>
      </c>
      <c r="DK3">
        <v>19</v>
      </c>
      <c r="DL3">
        <v>5</v>
      </c>
      <c r="DQ3">
        <v>0</v>
      </c>
      <c r="DR3">
        <v>0</v>
      </c>
      <c r="DU3">
        <v>20250410</v>
      </c>
      <c r="DZ3">
        <v>0</v>
      </c>
      <c r="EB3">
        <v>19</v>
      </c>
      <c r="ED3">
        <v>0</v>
      </c>
      <c r="EI3">
        <v>20250410</v>
      </c>
      <c r="EQ3">
        <v>20250410</v>
      </c>
      <c r="FG3" t="s">
        <v>384</v>
      </c>
      <c r="FH3">
        <v>14575</v>
      </c>
      <c r="FR3">
        <v>0</v>
      </c>
      <c r="FS3">
        <v>0</v>
      </c>
      <c r="GA3" t="s">
        <v>385</v>
      </c>
      <c r="GB3" t="s">
        <v>386</v>
      </c>
      <c r="GC3" t="s">
        <v>387</v>
      </c>
      <c r="GO3" t="s">
        <v>388</v>
      </c>
      <c r="GP3" t="s">
        <v>389</v>
      </c>
      <c r="GX3" t="s">
        <v>361</v>
      </c>
      <c r="GZ3">
        <v>1</v>
      </c>
      <c r="HJ3">
        <v>20250409</v>
      </c>
      <c r="HN3" t="s">
        <v>362</v>
      </c>
      <c r="HP3" t="s">
        <v>390</v>
      </c>
      <c r="HT3" t="s">
        <v>391</v>
      </c>
      <c r="HU3" t="s">
        <v>392</v>
      </c>
      <c r="HV3" t="s">
        <v>388</v>
      </c>
      <c r="HY3" t="s">
        <v>393</v>
      </c>
      <c r="IC3">
        <v>6100</v>
      </c>
      <c r="ID3">
        <v>0</v>
      </c>
      <c r="IE3" t="s">
        <v>370</v>
      </c>
      <c r="IF3">
        <v>70</v>
      </c>
      <c r="IG3" t="s">
        <v>366</v>
      </c>
      <c r="IH3">
        <v>1</v>
      </c>
      <c r="II3">
        <v>3</v>
      </c>
      <c r="IN3" t="s">
        <v>394</v>
      </c>
    </row>
    <row r="4" spans="1:248">
      <c r="A4" t="s">
        <v>395</v>
      </c>
      <c r="B4" t="s">
        <v>396</v>
      </c>
      <c r="C4" t="s">
        <v>397</v>
      </c>
      <c r="D4">
        <v>3</v>
      </c>
      <c r="E4">
        <v>3</v>
      </c>
      <c r="F4">
        <v>3</v>
      </c>
      <c r="G4">
        <v>1</v>
      </c>
      <c r="H4" t="s">
        <v>370</v>
      </c>
      <c r="I4" t="s">
        <v>336</v>
      </c>
      <c r="J4">
        <v>4000</v>
      </c>
      <c r="K4">
        <v>11</v>
      </c>
      <c r="L4" t="s">
        <v>337</v>
      </c>
      <c r="N4" t="s">
        <v>398</v>
      </c>
      <c r="O4">
        <v>85340011000</v>
      </c>
      <c r="S4">
        <v>165.4</v>
      </c>
      <c r="T4">
        <v>174</v>
      </c>
      <c r="U4" t="s">
        <v>340</v>
      </c>
      <c r="V4">
        <v>1</v>
      </c>
      <c r="W4" t="s">
        <v>399</v>
      </c>
      <c r="X4" t="s">
        <v>400</v>
      </c>
      <c r="Y4" t="s">
        <v>401</v>
      </c>
      <c r="AB4">
        <v>4322.88</v>
      </c>
      <c r="AC4">
        <v>4322.88</v>
      </c>
      <c r="AD4" t="s">
        <v>375</v>
      </c>
      <c r="AE4">
        <v>1</v>
      </c>
      <c r="AF4">
        <v>1455.52</v>
      </c>
      <c r="AG4" t="s">
        <v>375</v>
      </c>
      <c r="AH4">
        <v>6138.12</v>
      </c>
      <c r="AI4">
        <v>0</v>
      </c>
      <c r="AJ4">
        <v>0</v>
      </c>
      <c r="AK4">
        <v>0</v>
      </c>
      <c r="AL4">
        <v>623.79</v>
      </c>
      <c r="AM4">
        <v>6761.91</v>
      </c>
      <c r="AN4">
        <v>6761.91</v>
      </c>
      <c r="AO4">
        <v>1284.76</v>
      </c>
      <c r="AP4">
        <v>0</v>
      </c>
      <c r="AQ4">
        <v>1284.76</v>
      </c>
      <c r="AR4" t="s">
        <v>376</v>
      </c>
      <c r="AS4" t="s">
        <v>377</v>
      </c>
      <c r="AT4">
        <v>20250411</v>
      </c>
      <c r="BA4" t="s">
        <v>346</v>
      </c>
      <c r="BG4" t="s">
        <v>347</v>
      </c>
      <c r="BJ4">
        <v>4</v>
      </c>
      <c r="BL4" t="s">
        <v>402</v>
      </c>
      <c r="BP4">
        <v>100</v>
      </c>
      <c r="BQ4">
        <v>0</v>
      </c>
      <c r="BR4" t="s">
        <v>349</v>
      </c>
      <c r="BV4">
        <v>1</v>
      </c>
      <c r="BX4" t="s">
        <v>403</v>
      </c>
      <c r="BZ4" t="s">
        <v>336</v>
      </c>
      <c r="CA4" t="s">
        <v>404</v>
      </c>
      <c r="CC4" t="s">
        <v>351</v>
      </c>
      <c r="CE4" t="s">
        <v>351</v>
      </c>
      <c r="CH4">
        <v>20250408</v>
      </c>
      <c r="CI4" t="s">
        <v>405</v>
      </c>
      <c r="CK4">
        <v>20221101</v>
      </c>
      <c r="CL4">
        <v>2079.31</v>
      </c>
      <c r="CM4" t="s">
        <v>375</v>
      </c>
      <c r="CS4">
        <v>4</v>
      </c>
      <c r="CT4" t="s">
        <v>406</v>
      </c>
      <c r="CU4" t="s">
        <v>354</v>
      </c>
      <c r="CV4">
        <v>4</v>
      </c>
      <c r="CZ4">
        <v>0</v>
      </c>
      <c r="DG4" t="s">
        <v>355</v>
      </c>
      <c r="DH4" t="s">
        <v>375</v>
      </c>
      <c r="DK4">
        <v>19</v>
      </c>
      <c r="DL4">
        <v>5</v>
      </c>
      <c r="DQ4">
        <v>0</v>
      </c>
      <c r="DR4">
        <v>0</v>
      </c>
      <c r="DZ4">
        <v>0</v>
      </c>
      <c r="EB4">
        <v>19</v>
      </c>
      <c r="ED4">
        <v>0</v>
      </c>
      <c r="EI4">
        <v>20250411</v>
      </c>
      <c r="EQ4">
        <v>20250411</v>
      </c>
      <c r="FG4" t="s">
        <v>384</v>
      </c>
      <c r="FH4">
        <v>14575</v>
      </c>
      <c r="FR4">
        <v>0</v>
      </c>
      <c r="FS4">
        <v>0</v>
      </c>
      <c r="GA4" t="s">
        <v>407</v>
      </c>
      <c r="GB4" t="s">
        <v>408</v>
      </c>
      <c r="GC4" t="s">
        <v>409</v>
      </c>
      <c r="GO4" t="s">
        <v>388</v>
      </c>
      <c r="GP4" t="s">
        <v>389</v>
      </c>
      <c r="GX4" t="s">
        <v>361</v>
      </c>
      <c r="GZ4">
        <v>1</v>
      </c>
      <c r="HJ4">
        <v>20250411</v>
      </c>
      <c r="HN4" t="s">
        <v>410</v>
      </c>
      <c r="HP4" t="s">
        <v>411</v>
      </c>
      <c r="HT4" t="s">
        <v>412</v>
      </c>
      <c r="HU4" t="s">
        <v>392</v>
      </c>
      <c r="HV4" t="s">
        <v>388</v>
      </c>
      <c r="HY4" t="s">
        <v>413</v>
      </c>
      <c r="IC4">
        <v>2079.31</v>
      </c>
      <c r="ID4">
        <v>0</v>
      </c>
      <c r="IE4" t="s">
        <v>370</v>
      </c>
      <c r="IF4">
        <v>70</v>
      </c>
      <c r="IG4" t="s">
        <v>414</v>
      </c>
      <c r="IH4">
        <v>0.982415</v>
      </c>
      <c r="II4">
        <v>1</v>
      </c>
      <c r="IJ4" t="s">
        <v>415</v>
      </c>
      <c r="IN4" t="s">
        <v>416</v>
      </c>
    </row>
    <row r="5" spans="1:248">
      <c r="A5" t="s">
        <v>417</v>
      </c>
      <c r="B5" t="s">
        <v>418</v>
      </c>
      <c r="C5" t="s">
        <v>417</v>
      </c>
      <c r="D5">
        <v>3</v>
      </c>
      <c r="E5">
        <v>3</v>
      </c>
      <c r="F5">
        <v>3</v>
      </c>
      <c r="G5">
        <v>1</v>
      </c>
      <c r="H5" t="s">
        <v>335</v>
      </c>
      <c r="I5" t="s">
        <v>336</v>
      </c>
      <c r="J5">
        <v>4000</v>
      </c>
      <c r="K5">
        <v>11</v>
      </c>
      <c r="L5" t="s">
        <v>337</v>
      </c>
      <c r="M5" t="s">
        <v>338</v>
      </c>
      <c r="N5" t="s">
        <v>339</v>
      </c>
      <c r="O5">
        <v>85371098990</v>
      </c>
      <c r="S5">
        <v>560</v>
      </c>
      <c r="T5">
        <v>590.3</v>
      </c>
      <c r="U5" t="s">
        <v>340</v>
      </c>
      <c r="V5">
        <v>3</v>
      </c>
      <c r="W5" t="s">
        <v>419</v>
      </c>
      <c r="X5" t="s">
        <v>342</v>
      </c>
      <c r="Y5" t="s">
        <v>343</v>
      </c>
      <c r="AB5">
        <v>130682.88</v>
      </c>
      <c r="AC5">
        <v>130682.88</v>
      </c>
      <c r="AD5" t="s">
        <v>344</v>
      </c>
      <c r="AE5">
        <v>1.0897</v>
      </c>
      <c r="AF5">
        <v>-224.33</v>
      </c>
      <c r="AG5" t="s">
        <v>344</v>
      </c>
      <c r="AH5">
        <v>119905.59</v>
      </c>
      <c r="AI5">
        <v>2.1</v>
      </c>
      <c r="AJ5">
        <v>2.1</v>
      </c>
      <c r="AK5">
        <v>2518.02</v>
      </c>
      <c r="AL5">
        <v>205.86</v>
      </c>
      <c r="AM5">
        <v>122629.46</v>
      </c>
      <c r="AN5">
        <v>122629.47</v>
      </c>
      <c r="AO5">
        <v>23299.6</v>
      </c>
      <c r="AP5">
        <v>2518.02</v>
      </c>
      <c r="AQ5">
        <v>23299.6</v>
      </c>
      <c r="AR5" t="s">
        <v>345</v>
      </c>
      <c r="AS5" t="s">
        <v>345</v>
      </c>
      <c r="AT5">
        <v>20250414</v>
      </c>
      <c r="BA5" t="s">
        <v>346</v>
      </c>
      <c r="BG5" t="s">
        <v>347</v>
      </c>
      <c r="BJ5">
        <v>4</v>
      </c>
      <c r="BL5" t="s">
        <v>420</v>
      </c>
      <c r="BP5">
        <v>100</v>
      </c>
      <c r="BQ5">
        <v>0</v>
      </c>
      <c r="BR5" t="s">
        <v>349</v>
      </c>
      <c r="BV5">
        <v>1</v>
      </c>
      <c r="BZ5" t="s">
        <v>336</v>
      </c>
      <c r="CA5" t="s">
        <v>350</v>
      </c>
      <c r="CC5" t="s">
        <v>351</v>
      </c>
      <c r="CE5" t="s">
        <v>351</v>
      </c>
      <c r="CH5">
        <v>20250331</v>
      </c>
      <c r="CI5" t="s">
        <v>352</v>
      </c>
      <c r="CL5">
        <v>1019.7</v>
      </c>
      <c r="CM5" t="s">
        <v>344</v>
      </c>
      <c r="CN5">
        <v>202.56</v>
      </c>
      <c r="CO5" t="s">
        <v>344</v>
      </c>
      <c r="CS5">
        <v>4</v>
      </c>
      <c r="CT5" t="s">
        <v>353</v>
      </c>
      <c r="CU5" t="s">
        <v>354</v>
      </c>
      <c r="CV5">
        <v>4</v>
      </c>
      <c r="CZ5">
        <v>2.1</v>
      </c>
      <c r="DG5" t="s">
        <v>355</v>
      </c>
      <c r="DH5" t="s">
        <v>344</v>
      </c>
      <c r="DK5">
        <v>19</v>
      </c>
      <c r="DL5">
        <v>5</v>
      </c>
      <c r="DQ5">
        <v>0</v>
      </c>
      <c r="DR5">
        <v>0</v>
      </c>
      <c r="DU5">
        <v>20250411</v>
      </c>
      <c r="DZ5">
        <v>0</v>
      </c>
      <c r="EB5">
        <v>19</v>
      </c>
      <c r="ED5">
        <v>0</v>
      </c>
      <c r="EI5">
        <v>20250414</v>
      </c>
      <c r="EQ5">
        <v>20250414</v>
      </c>
      <c r="FE5" t="s">
        <v>356</v>
      </c>
      <c r="FF5">
        <v>20123</v>
      </c>
      <c r="FG5" t="s">
        <v>356</v>
      </c>
      <c r="FH5">
        <v>30441</v>
      </c>
      <c r="FR5">
        <v>2518.02</v>
      </c>
      <c r="FS5">
        <v>0</v>
      </c>
      <c r="GA5" t="s">
        <v>421</v>
      </c>
      <c r="GB5" t="s">
        <v>422</v>
      </c>
      <c r="GC5" t="s">
        <v>423</v>
      </c>
      <c r="GO5" t="s">
        <v>360</v>
      </c>
      <c r="GP5" t="s">
        <v>360</v>
      </c>
      <c r="GX5" t="s">
        <v>361</v>
      </c>
      <c r="GZ5">
        <v>1</v>
      </c>
      <c r="HJ5">
        <v>20250414</v>
      </c>
      <c r="HN5" t="s">
        <v>362</v>
      </c>
      <c r="HP5" t="s">
        <v>424</v>
      </c>
      <c r="HT5" t="s">
        <v>364</v>
      </c>
      <c r="HU5">
        <v>6410008089</v>
      </c>
      <c r="HV5" t="s">
        <v>360</v>
      </c>
      <c r="HY5" t="s">
        <v>365</v>
      </c>
      <c r="IC5">
        <v>1019.7</v>
      </c>
      <c r="ID5">
        <v>0</v>
      </c>
      <c r="IE5" t="s">
        <v>335</v>
      </c>
      <c r="IF5">
        <v>78</v>
      </c>
      <c r="IG5" t="s">
        <v>366</v>
      </c>
      <c r="IH5">
        <v>0.917684</v>
      </c>
      <c r="II5">
        <v>3</v>
      </c>
      <c r="IM5">
        <v>0.155</v>
      </c>
      <c r="IN5" t="s">
        <v>425</v>
      </c>
    </row>
    <row r="6" spans="1:248">
      <c r="A6" t="s">
        <v>426</v>
      </c>
      <c r="B6" t="s">
        <v>427</v>
      </c>
      <c r="C6" t="s">
        <v>426</v>
      </c>
      <c r="D6">
        <v>3</v>
      </c>
      <c r="E6">
        <v>3</v>
      </c>
      <c r="F6">
        <v>3</v>
      </c>
      <c r="G6">
        <v>1</v>
      </c>
      <c r="H6" t="s">
        <v>428</v>
      </c>
      <c r="I6" t="s">
        <v>336</v>
      </c>
      <c r="J6">
        <v>4000</v>
      </c>
      <c r="K6">
        <v>11</v>
      </c>
      <c r="L6" t="s">
        <v>337</v>
      </c>
      <c r="N6" t="s">
        <v>372</v>
      </c>
      <c r="O6">
        <v>85340011000</v>
      </c>
      <c r="S6">
        <v>438.5</v>
      </c>
      <c r="T6">
        <v>474</v>
      </c>
      <c r="U6" t="s">
        <v>340</v>
      </c>
      <c r="V6">
        <v>1</v>
      </c>
      <c r="W6" t="s">
        <v>429</v>
      </c>
      <c r="X6" t="s">
        <v>430</v>
      </c>
      <c r="Y6" t="s">
        <v>401</v>
      </c>
      <c r="AB6">
        <v>14361.14</v>
      </c>
      <c r="AC6">
        <v>14361.14</v>
      </c>
      <c r="AD6" t="s">
        <v>375</v>
      </c>
      <c r="AE6">
        <v>1</v>
      </c>
      <c r="AF6">
        <v>-718.15</v>
      </c>
      <c r="AG6" t="s">
        <v>375</v>
      </c>
      <c r="AH6">
        <v>14057.37</v>
      </c>
      <c r="AI6">
        <v>0</v>
      </c>
      <c r="AJ6">
        <v>0</v>
      </c>
      <c r="AK6">
        <v>0</v>
      </c>
      <c r="AL6">
        <v>718.15</v>
      </c>
      <c r="AM6">
        <v>14775.52</v>
      </c>
      <c r="AN6">
        <v>14775.52</v>
      </c>
      <c r="AO6">
        <v>2807.35</v>
      </c>
      <c r="AP6">
        <v>0</v>
      </c>
      <c r="AQ6">
        <v>2807.35</v>
      </c>
      <c r="AR6" t="s">
        <v>376</v>
      </c>
      <c r="AS6" t="s">
        <v>377</v>
      </c>
      <c r="AT6">
        <v>20250414</v>
      </c>
      <c r="BA6" t="s">
        <v>346</v>
      </c>
      <c r="BG6" t="s">
        <v>347</v>
      </c>
      <c r="BJ6">
        <v>4</v>
      </c>
      <c r="BL6" t="s">
        <v>431</v>
      </c>
      <c r="BP6">
        <v>100</v>
      </c>
      <c r="BQ6">
        <v>0</v>
      </c>
      <c r="BR6" t="s">
        <v>349</v>
      </c>
      <c r="BV6">
        <v>1</v>
      </c>
      <c r="BZ6" t="s">
        <v>336</v>
      </c>
      <c r="CA6" t="s">
        <v>382</v>
      </c>
      <c r="CC6" t="s">
        <v>351</v>
      </c>
      <c r="CE6" t="s">
        <v>351</v>
      </c>
      <c r="CH6">
        <v>20250409</v>
      </c>
      <c r="CI6" t="s">
        <v>383</v>
      </c>
      <c r="CL6">
        <v>2393.83</v>
      </c>
      <c r="CM6" t="s">
        <v>375</v>
      </c>
      <c r="CN6">
        <v>0</v>
      </c>
      <c r="CO6" t="s">
        <v>375</v>
      </c>
      <c r="CS6">
        <v>4</v>
      </c>
      <c r="CT6" t="s">
        <v>377</v>
      </c>
      <c r="CU6" t="s">
        <v>354</v>
      </c>
      <c r="CV6">
        <v>4</v>
      </c>
      <c r="CZ6">
        <v>0</v>
      </c>
      <c r="DG6" t="s">
        <v>355</v>
      </c>
      <c r="DH6" t="s">
        <v>375</v>
      </c>
      <c r="DK6">
        <v>19</v>
      </c>
      <c r="DL6">
        <v>5</v>
      </c>
      <c r="DQ6">
        <v>0</v>
      </c>
      <c r="DR6">
        <v>0</v>
      </c>
      <c r="DU6">
        <v>20250410</v>
      </c>
      <c r="DZ6">
        <v>0</v>
      </c>
      <c r="EB6">
        <v>19</v>
      </c>
      <c r="ED6">
        <v>0</v>
      </c>
      <c r="EI6">
        <v>20250414</v>
      </c>
      <c r="EQ6">
        <v>20250414</v>
      </c>
      <c r="FG6" t="s">
        <v>384</v>
      </c>
      <c r="FH6">
        <v>14575</v>
      </c>
      <c r="FR6">
        <v>0</v>
      </c>
      <c r="FS6">
        <v>0</v>
      </c>
      <c r="GA6" t="s">
        <v>432</v>
      </c>
      <c r="GB6" t="s">
        <v>433</v>
      </c>
      <c r="GC6" t="s">
        <v>434</v>
      </c>
      <c r="GO6" t="s">
        <v>388</v>
      </c>
      <c r="GP6" t="s">
        <v>389</v>
      </c>
      <c r="GX6" t="s">
        <v>361</v>
      </c>
      <c r="GZ6">
        <v>1</v>
      </c>
      <c r="HJ6">
        <v>20250414</v>
      </c>
      <c r="HN6" t="s">
        <v>410</v>
      </c>
      <c r="HP6" t="s">
        <v>435</v>
      </c>
      <c r="HT6" t="s">
        <v>391</v>
      </c>
      <c r="HU6" t="s">
        <v>392</v>
      </c>
      <c r="HV6" t="s">
        <v>388</v>
      </c>
      <c r="HY6" t="s">
        <v>393</v>
      </c>
      <c r="IC6">
        <v>2393.83</v>
      </c>
      <c r="ID6">
        <v>0</v>
      </c>
      <c r="IE6" t="s">
        <v>428</v>
      </c>
      <c r="IF6">
        <v>70</v>
      </c>
      <c r="IG6" t="s">
        <v>366</v>
      </c>
      <c r="IH6">
        <v>1</v>
      </c>
      <c r="II6">
        <v>3</v>
      </c>
      <c r="IJ6" t="s">
        <v>415</v>
      </c>
      <c r="IN6" t="s">
        <v>436</v>
      </c>
    </row>
    <row r="7" spans="1:248">
      <c r="A7" t="s">
        <v>437</v>
      </c>
      <c r="B7" t="s">
        <v>438</v>
      </c>
      <c r="C7" t="s">
        <v>437</v>
      </c>
      <c r="D7">
        <v>3</v>
      </c>
      <c r="E7">
        <v>3</v>
      </c>
      <c r="F7">
        <v>3</v>
      </c>
      <c r="G7">
        <v>1</v>
      </c>
      <c r="H7" t="s">
        <v>370</v>
      </c>
      <c r="I7" t="s">
        <v>336</v>
      </c>
      <c r="J7">
        <v>4000</v>
      </c>
      <c r="K7">
        <v>11</v>
      </c>
      <c r="L7" t="s">
        <v>337</v>
      </c>
      <c r="M7" t="s">
        <v>439</v>
      </c>
      <c r="N7" t="s">
        <v>440</v>
      </c>
      <c r="O7">
        <v>85340011000</v>
      </c>
      <c r="S7">
        <v>40</v>
      </c>
      <c r="T7">
        <v>43</v>
      </c>
      <c r="U7" t="s">
        <v>340</v>
      </c>
      <c r="V7">
        <v>5</v>
      </c>
      <c r="W7" t="s">
        <v>441</v>
      </c>
      <c r="X7" t="s">
        <v>442</v>
      </c>
      <c r="Y7" t="s">
        <v>443</v>
      </c>
      <c r="AB7">
        <v>1806.94</v>
      </c>
      <c r="AC7">
        <v>1806.94</v>
      </c>
      <c r="AD7" t="s">
        <v>375</v>
      </c>
      <c r="AE7">
        <v>1</v>
      </c>
      <c r="AF7">
        <v>176.26</v>
      </c>
      <c r="AG7" t="s">
        <v>375</v>
      </c>
      <c r="AH7">
        <v>1986</v>
      </c>
      <c r="AI7">
        <v>0</v>
      </c>
      <c r="AJ7">
        <v>0</v>
      </c>
      <c r="AK7">
        <v>0</v>
      </c>
      <c r="AL7">
        <v>75.54</v>
      </c>
      <c r="AM7">
        <v>2061.54</v>
      </c>
      <c r="AN7">
        <v>2061.54</v>
      </c>
      <c r="AO7">
        <v>391.69</v>
      </c>
      <c r="AP7">
        <v>0</v>
      </c>
      <c r="AQ7">
        <v>391.69</v>
      </c>
      <c r="AR7" t="s">
        <v>376</v>
      </c>
      <c r="AS7" t="s">
        <v>377</v>
      </c>
      <c r="AT7">
        <v>20250422</v>
      </c>
      <c r="BA7" t="s">
        <v>346</v>
      </c>
      <c r="BG7" t="s">
        <v>347</v>
      </c>
      <c r="BJ7">
        <v>4</v>
      </c>
      <c r="BL7" t="s">
        <v>444</v>
      </c>
      <c r="BP7">
        <v>100</v>
      </c>
      <c r="BQ7">
        <v>0</v>
      </c>
      <c r="BR7" t="s">
        <v>349</v>
      </c>
      <c r="BV7">
        <v>1</v>
      </c>
      <c r="BZ7" t="s">
        <v>336</v>
      </c>
      <c r="CA7" t="s">
        <v>445</v>
      </c>
      <c r="CC7" t="s">
        <v>351</v>
      </c>
      <c r="CE7" t="s">
        <v>351</v>
      </c>
      <c r="CH7">
        <v>20250413</v>
      </c>
      <c r="CI7" t="s">
        <v>446</v>
      </c>
      <c r="CL7">
        <v>251.8</v>
      </c>
      <c r="CM7" t="s">
        <v>375</v>
      </c>
      <c r="CN7">
        <v>2.8</v>
      </c>
      <c r="CO7" t="s">
        <v>375</v>
      </c>
      <c r="CS7">
        <v>4</v>
      </c>
      <c r="CT7" t="s">
        <v>406</v>
      </c>
      <c r="CU7" t="s">
        <v>354</v>
      </c>
      <c r="CV7">
        <v>4</v>
      </c>
      <c r="CZ7">
        <v>0</v>
      </c>
      <c r="DG7" t="s">
        <v>355</v>
      </c>
      <c r="DH7" t="s">
        <v>375</v>
      </c>
      <c r="DK7">
        <v>19</v>
      </c>
      <c r="DL7">
        <v>5</v>
      </c>
      <c r="DQ7">
        <v>0</v>
      </c>
      <c r="DR7">
        <v>0</v>
      </c>
      <c r="DU7">
        <v>20250419</v>
      </c>
      <c r="DZ7">
        <v>0</v>
      </c>
      <c r="EB7">
        <v>19</v>
      </c>
      <c r="ED7">
        <v>0</v>
      </c>
      <c r="EI7">
        <v>20250422</v>
      </c>
      <c r="EQ7">
        <v>20250422</v>
      </c>
      <c r="FG7" t="s">
        <v>356</v>
      </c>
      <c r="FH7">
        <v>30441</v>
      </c>
      <c r="FR7">
        <v>0</v>
      </c>
      <c r="FS7">
        <v>0</v>
      </c>
      <c r="GA7" t="s">
        <v>447</v>
      </c>
      <c r="GB7" t="s">
        <v>448</v>
      </c>
      <c r="GC7" t="s">
        <v>449</v>
      </c>
      <c r="GO7" t="s">
        <v>360</v>
      </c>
      <c r="GP7" t="s">
        <v>360</v>
      </c>
      <c r="GX7" t="s">
        <v>361</v>
      </c>
      <c r="GZ7">
        <v>1</v>
      </c>
      <c r="HJ7">
        <v>20250422</v>
      </c>
      <c r="HN7" t="s">
        <v>362</v>
      </c>
      <c r="HP7" t="s">
        <v>450</v>
      </c>
      <c r="HT7" t="s">
        <v>451</v>
      </c>
      <c r="HU7">
        <v>6410008089</v>
      </c>
      <c r="HV7" t="s">
        <v>360</v>
      </c>
      <c r="HY7" t="s">
        <v>452</v>
      </c>
      <c r="IC7">
        <v>251.8</v>
      </c>
      <c r="ID7">
        <v>0</v>
      </c>
      <c r="IE7" t="s">
        <v>370</v>
      </c>
      <c r="IF7">
        <v>70</v>
      </c>
      <c r="IG7" t="s">
        <v>366</v>
      </c>
      <c r="IH7">
        <v>1</v>
      </c>
      <c r="II7">
        <v>1</v>
      </c>
      <c r="IM7">
        <v>0.155</v>
      </c>
      <c r="IN7" t="s">
        <v>453</v>
      </c>
    </row>
    <row r="8" spans="1:248">
      <c r="A8" t="s">
        <v>454</v>
      </c>
      <c r="B8" t="s">
        <v>455</v>
      </c>
      <c r="C8" t="s">
        <v>454</v>
      </c>
      <c r="D8">
        <v>3</v>
      </c>
      <c r="E8">
        <v>3</v>
      </c>
      <c r="F8">
        <v>3</v>
      </c>
      <c r="G8">
        <v>1</v>
      </c>
      <c r="H8" t="s">
        <v>428</v>
      </c>
      <c r="I8" t="s">
        <v>336</v>
      </c>
      <c r="J8">
        <v>4000</v>
      </c>
      <c r="K8">
        <v>11</v>
      </c>
      <c r="L8" t="s">
        <v>337</v>
      </c>
      <c r="M8" t="s">
        <v>439</v>
      </c>
      <c r="N8" t="s">
        <v>440</v>
      </c>
      <c r="O8">
        <v>85340011000</v>
      </c>
      <c r="S8">
        <v>213.2</v>
      </c>
      <c r="T8">
        <v>250</v>
      </c>
      <c r="U8" t="s">
        <v>340</v>
      </c>
      <c r="V8">
        <v>1</v>
      </c>
      <c r="W8" t="s">
        <v>456</v>
      </c>
      <c r="X8" t="s">
        <v>400</v>
      </c>
      <c r="Y8" t="s">
        <v>457</v>
      </c>
      <c r="AB8">
        <v>9612.84</v>
      </c>
      <c r="AC8">
        <v>9612.84</v>
      </c>
      <c r="AD8" t="s">
        <v>375</v>
      </c>
      <c r="AE8">
        <v>1</v>
      </c>
      <c r="AF8">
        <v>800.02</v>
      </c>
      <c r="AG8" t="s">
        <v>375</v>
      </c>
      <c r="AH8">
        <v>10821.43</v>
      </c>
      <c r="AI8">
        <v>0</v>
      </c>
      <c r="AJ8">
        <v>0</v>
      </c>
      <c r="AK8">
        <v>0</v>
      </c>
      <c r="AL8">
        <v>342.86</v>
      </c>
      <c r="AM8">
        <v>11164.29</v>
      </c>
      <c r="AN8">
        <v>11164.29</v>
      </c>
      <c r="AO8">
        <v>2121.22</v>
      </c>
      <c r="AP8">
        <v>0</v>
      </c>
      <c r="AQ8">
        <v>2121.22</v>
      </c>
      <c r="AR8" t="s">
        <v>377</v>
      </c>
      <c r="AS8" t="s">
        <v>377</v>
      </c>
      <c r="AT8">
        <v>20250423</v>
      </c>
      <c r="BA8" t="s">
        <v>346</v>
      </c>
      <c r="BG8" t="s">
        <v>347</v>
      </c>
      <c r="BJ8">
        <v>4</v>
      </c>
      <c r="BL8" t="s">
        <v>458</v>
      </c>
      <c r="BP8">
        <v>100</v>
      </c>
      <c r="BQ8">
        <v>0</v>
      </c>
      <c r="BR8" t="s">
        <v>349</v>
      </c>
      <c r="BV8">
        <v>1</v>
      </c>
      <c r="BZ8" t="s">
        <v>336</v>
      </c>
      <c r="CA8" t="s">
        <v>459</v>
      </c>
      <c r="CC8" t="s">
        <v>351</v>
      </c>
      <c r="CE8" t="s">
        <v>351</v>
      </c>
      <c r="CH8">
        <v>20250417</v>
      </c>
      <c r="CI8" t="s">
        <v>460</v>
      </c>
      <c r="CL8">
        <v>1142.88</v>
      </c>
      <c r="CM8" t="s">
        <v>375</v>
      </c>
      <c r="CN8">
        <v>14.9</v>
      </c>
      <c r="CO8" t="s">
        <v>375</v>
      </c>
      <c r="CS8">
        <v>4</v>
      </c>
      <c r="CT8" t="s">
        <v>406</v>
      </c>
      <c r="CU8" t="s">
        <v>354</v>
      </c>
      <c r="CV8">
        <v>4</v>
      </c>
      <c r="CZ8">
        <v>0</v>
      </c>
      <c r="DG8" t="s">
        <v>355</v>
      </c>
      <c r="DH8" t="s">
        <v>375</v>
      </c>
      <c r="DK8">
        <v>19</v>
      </c>
      <c r="DL8">
        <v>5</v>
      </c>
      <c r="DQ8">
        <v>0</v>
      </c>
      <c r="DR8">
        <v>0</v>
      </c>
      <c r="DU8">
        <v>20250422</v>
      </c>
      <c r="DZ8">
        <v>0</v>
      </c>
      <c r="EB8">
        <v>19</v>
      </c>
      <c r="ED8">
        <v>0</v>
      </c>
      <c r="EI8">
        <v>20250423</v>
      </c>
      <c r="EQ8">
        <v>20250423</v>
      </c>
      <c r="FG8" t="s">
        <v>356</v>
      </c>
      <c r="FH8">
        <v>30441</v>
      </c>
      <c r="FR8">
        <v>0</v>
      </c>
      <c r="FS8">
        <v>0</v>
      </c>
      <c r="GA8" t="s">
        <v>461</v>
      </c>
      <c r="GB8" t="s">
        <v>462</v>
      </c>
      <c r="GC8" t="s">
        <v>463</v>
      </c>
      <c r="GO8" t="s">
        <v>360</v>
      </c>
      <c r="GP8" t="s">
        <v>360</v>
      </c>
      <c r="GX8" t="s">
        <v>361</v>
      </c>
      <c r="GZ8">
        <v>1</v>
      </c>
      <c r="HJ8">
        <v>20250422</v>
      </c>
      <c r="HN8" t="s">
        <v>362</v>
      </c>
      <c r="HP8" t="s">
        <v>464</v>
      </c>
      <c r="HT8" t="s">
        <v>465</v>
      </c>
      <c r="HU8">
        <v>6410008089</v>
      </c>
      <c r="HV8" t="s">
        <v>360</v>
      </c>
      <c r="HY8" t="s">
        <v>413</v>
      </c>
      <c r="IC8">
        <v>1142.88</v>
      </c>
      <c r="ID8">
        <v>0</v>
      </c>
      <c r="IE8" t="s">
        <v>428</v>
      </c>
      <c r="IF8">
        <v>70</v>
      </c>
      <c r="IG8" t="s">
        <v>366</v>
      </c>
      <c r="IH8">
        <v>1</v>
      </c>
      <c r="II8">
        <v>1</v>
      </c>
      <c r="IM8">
        <v>0.155</v>
      </c>
      <c r="IN8" t="s">
        <v>466</v>
      </c>
    </row>
    <row r="9" spans="1:248">
      <c r="A9" t="s">
        <v>467</v>
      </c>
      <c r="B9" t="s">
        <v>468</v>
      </c>
      <c r="C9" t="s">
        <v>467</v>
      </c>
      <c r="D9">
        <v>3</v>
      </c>
      <c r="E9">
        <v>3</v>
      </c>
      <c r="F9">
        <v>3</v>
      </c>
      <c r="G9">
        <v>1</v>
      </c>
      <c r="H9" t="s">
        <v>469</v>
      </c>
      <c r="I9" t="s">
        <v>336</v>
      </c>
      <c r="J9">
        <v>4000</v>
      </c>
      <c r="K9">
        <v>11</v>
      </c>
      <c r="L9" t="s">
        <v>337</v>
      </c>
      <c r="N9" t="s">
        <v>470</v>
      </c>
      <c r="O9">
        <v>84145925900</v>
      </c>
      <c r="Q9">
        <v>11520</v>
      </c>
      <c r="R9" t="s">
        <v>471</v>
      </c>
      <c r="S9">
        <v>241.9</v>
      </c>
      <c r="T9">
        <v>338</v>
      </c>
      <c r="U9" t="s">
        <v>340</v>
      </c>
      <c r="V9">
        <v>1</v>
      </c>
      <c r="W9">
        <v>9404416357</v>
      </c>
      <c r="X9" t="s">
        <v>430</v>
      </c>
      <c r="Y9" t="s">
        <v>472</v>
      </c>
      <c r="AB9">
        <v>28684.8</v>
      </c>
      <c r="AC9">
        <v>28684.8</v>
      </c>
      <c r="AD9" t="s">
        <v>344</v>
      </c>
      <c r="AE9">
        <v>1.0897</v>
      </c>
      <c r="AF9">
        <v>1391.21</v>
      </c>
      <c r="AG9" t="s">
        <v>375</v>
      </c>
      <c r="AH9">
        <v>27891.59</v>
      </c>
      <c r="AI9">
        <v>2.3</v>
      </c>
      <c r="AJ9">
        <v>2.3</v>
      </c>
      <c r="AK9">
        <v>641.51</v>
      </c>
      <c r="AL9">
        <v>596.23</v>
      </c>
      <c r="AM9">
        <v>29129.33</v>
      </c>
      <c r="AN9">
        <v>29129.33</v>
      </c>
      <c r="AO9">
        <v>5534.57</v>
      </c>
      <c r="AP9">
        <v>641.51</v>
      </c>
      <c r="AQ9">
        <v>5534.57</v>
      </c>
      <c r="AR9" t="s">
        <v>473</v>
      </c>
      <c r="AS9" t="s">
        <v>473</v>
      </c>
      <c r="AT9">
        <v>20250423</v>
      </c>
      <c r="BA9" t="s">
        <v>346</v>
      </c>
      <c r="BG9" t="s">
        <v>347</v>
      </c>
      <c r="BJ9">
        <v>4</v>
      </c>
      <c r="BL9" t="s">
        <v>474</v>
      </c>
      <c r="BP9">
        <v>100</v>
      </c>
      <c r="BQ9">
        <v>0</v>
      </c>
      <c r="BR9" t="s">
        <v>349</v>
      </c>
      <c r="BV9">
        <v>1</v>
      </c>
      <c r="BZ9" t="s">
        <v>336</v>
      </c>
      <c r="CA9" t="s">
        <v>475</v>
      </c>
      <c r="CC9" t="s">
        <v>351</v>
      </c>
      <c r="CE9" t="s">
        <v>351</v>
      </c>
      <c r="CH9">
        <v>20250321</v>
      </c>
      <c r="CI9" t="s">
        <v>476</v>
      </c>
      <c r="CL9">
        <v>1987.44</v>
      </c>
      <c r="CM9" t="s">
        <v>375</v>
      </c>
      <c r="CN9">
        <v>44.46</v>
      </c>
      <c r="CO9" t="s">
        <v>344</v>
      </c>
      <c r="CS9">
        <v>4</v>
      </c>
      <c r="CT9" t="s">
        <v>473</v>
      </c>
      <c r="CU9" t="s">
        <v>354</v>
      </c>
      <c r="CV9">
        <v>4</v>
      </c>
      <c r="CZ9">
        <v>2.3</v>
      </c>
      <c r="DG9" t="s">
        <v>355</v>
      </c>
      <c r="DH9" t="s">
        <v>344</v>
      </c>
      <c r="DK9">
        <v>19</v>
      </c>
      <c r="DL9">
        <v>5</v>
      </c>
      <c r="DQ9">
        <v>0</v>
      </c>
      <c r="DR9">
        <v>0</v>
      </c>
      <c r="DU9">
        <v>20250423</v>
      </c>
      <c r="DZ9">
        <v>0</v>
      </c>
      <c r="EB9">
        <v>19</v>
      </c>
      <c r="ED9">
        <v>0</v>
      </c>
      <c r="EI9">
        <v>20250423</v>
      </c>
      <c r="EQ9">
        <v>20250423</v>
      </c>
      <c r="FE9" t="s">
        <v>356</v>
      </c>
      <c r="FF9">
        <v>20123</v>
      </c>
      <c r="FG9" t="s">
        <v>356</v>
      </c>
      <c r="FH9">
        <v>30441</v>
      </c>
      <c r="FR9">
        <v>641.51</v>
      </c>
      <c r="FS9">
        <v>0</v>
      </c>
      <c r="GA9" t="s">
        <v>477</v>
      </c>
      <c r="GB9" t="s">
        <v>478</v>
      </c>
      <c r="GC9" t="s">
        <v>479</v>
      </c>
      <c r="GO9" t="s">
        <v>360</v>
      </c>
      <c r="GP9" t="s">
        <v>360</v>
      </c>
      <c r="GX9" t="s">
        <v>361</v>
      </c>
      <c r="GZ9">
        <v>1</v>
      </c>
      <c r="HJ9">
        <v>20250423</v>
      </c>
      <c r="HN9" t="s">
        <v>362</v>
      </c>
      <c r="HP9" t="s">
        <v>480</v>
      </c>
      <c r="HT9" t="s">
        <v>481</v>
      </c>
      <c r="HU9">
        <v>6410008089</v>
      </c>
      <c r="HV9" t="s">
        <v>360</v>
      </c>
      <c r="HY9" t="s">
        <v>482</v>
      </c>
      <c r="IC9">
        <v>1987.44</v>
      </c>
      <c r="ID9">
        <v>0</v>
      </c>
      <c r="IE9" t="s">
        <v>469</v>
      </c>
      <c r="IF9">
        <v>70</v>
      </c>
      <c r="IG9" t="s">
        <v>366</v>
      </c>
      <c r="IH9">
        <v>1</v>
      </c>
      <c r="II9">
        <v>1</v>
      </c>
      <c r="IM9">
        <v>0.155</v>
      </c>
      <c r="IN9" t="s">
        <v>483</v>
      </c>
    </row>
    <row r="10" spans="1:248">
      <c r="A10" t="s">
        <v>484</v>
      </c>
      <c r="B10" t="s">
        <v>485</v>
      </c>
      <c r="C10" t="s">
        <v>484</v>
      </c>
      <c r="D10">
        <v>3</v>
      </c>
      <c r="E10">
        <v>3</v>
      </c>
      <c r="F10">
        <v>3</v>
      </c>
      <c r="G10">
        <v>1</v>
      </c>
      <c r="H10" t="s">
        <v>486</v>
      </c>
      <c r="I10" t="s">
        <v>336</v>
      </c>
      <c r="J10">
        <v>4000</v>
      </c>
      <c r="K10">
        <v>11</v>
      </c>
      <c r="L10" t="s">
        <v>337</v>
      </c>
      <c r="N10" t="s">
        <v>487</v>
      </c>
      <c r="O10">
        <v>85371098990</v>
      </c>
      <c r="S10">
        <v>510</v>
      </c>
      <c r="T10">
        <v>535</v>
      </c>
      <c r="U10" t="s">
        <v>340</v>
      </c>
      <c r="V10">
        <v>3</v>
      </c>
      <c r="W10" t="s">
        <v>488</v>
      </c>
      <c r="X10" t="s">
        <v>430</v>
      </c>
      <c r="Y10" t="s">
        <v>489</v>
      </c>
      <c r="AB10">
        <v>100543.68</v>
      </c>
      <c r="AC10">
        <v>100543.68</v>
      </c>
      <c r="AD10" t="s">
        <v>344</v>
      </c>
      <c r="AE10">
        <v>1.1415</v>
      </c>
      <c r="AF10">
        <v>3220</v>
      </c>
      <c r="AG10" t="s">
        <v>344</v>
      </c>
      <c r="AH10">
        <v>91037.69</v>
      </c>
      <c r="AI10">
        <v>2.1</v>
      </c>
      <c r="AJ10">
        <v>2.1</v>
      </c>
      <c r="AK10">
        <v>1911.79</v>
      </c>
      <c r="AL10">
        <v>1208.94</v>
      </c>
      <c r="AM10">
        <v>94158.42</v>
      </c>
      <c r="AN10">
        <v>94158.42</v>
      </c>
      <c r="AO10">
        <v>17890.1</v>
      </c>
      <c r="AP10">
        <v>1911.79</v>
      </c>
      <c r="AQ10">
        <v>17890.1</v>
      </c>
      <c r="AR10" t="s">
        <v>490</v>
      </c>
      <c r="AS10" t="s">
        <v>490</v>
      </c>
      <c r="AT10">
        <v>20250505</v>
      </c>
      <c r="BA10" t="s">
        <v>346</v>
      </c>
      <c r="BG10" t="s">
        <v>347</v>
      </c>
      <c r="BJ10">
        <v>4</v>
      </c>
      <c r="BL10" t="s">
        <v>491</v>
      </c>
      <c r="BP10">
        <v>100</v>
      </c>
      <c r="BQ10">
        <v>0</v>
      </c>
      <c r="BR10" t="s">
        <v>349</v>
      </c>
      <c r="BV10">
        <v>1</v>
      </c>
      <c r="BZ10" t="s">
        <v>336</v>
      </c>
      <c r="CA10" t="s">
        <v>492</v>
      </c>
      <c r="CC10" t="s">
        <v>351</v>
      </c>
      <c r="CE10" t="s">
        <v>351</v>
      </c>
      <c r="CH10">
        <v>20250424</v>
      </c>
      <c r="CI10" t="s">
        <v>493</v>
      </c>
      <c r="CL10">
        <v>4600</v>
      </c>
      <c r="CM10" t="s">
        <v>344</v>
      </c>
      <c r="CN10">
        <v>155.84</v>
      </c>
      <c r="CO10" t="s">
        <v>344</v>
      </c>
      <c r="CS10">
        <v>4</v>
      </c>
      <c r="CT10" t="s">
        <v>494</v>
      </c>
      <c r="CU10" t="s">
        <v>354</v>
      </c>
      <c r="CV10">
        <v>4</v>
      </c>
      <c r="CZ10">
        <v>2.1</v>
      </c>
      <c r="DG10" t="s">
        <v>355</v>
      </c>
      <c r="DH10" t="s">
        <v>344</v>
      </c>
      <c r="DK10">
        <v>19</v>
      </c>
      <c r="DL10">
        <v>5</v>
      </c>
      <c r="DQ10">
        <v>0</v>
      </c>
      <c r="DR10">
        <v>0</v>
      </c>
      <c r="DU10">
        <v>20250503</v>
      </c>
      <c r="DZ10">
        <v>0</v>
      </c>
      <c r="EB10">
        <v>19</v>
      </c>
      <c r="ED10">
        <v>0</v>
      </c>
      <c r="EI10">
        <v>20250505</v>
      </c>
      <c r="EQ10">
        <v>20250505</v>
      </c>
      <c r="FE10" t="s">
        <v>356</v>
      </c>
      <c r="FF10">
        <v>20123</v>
      </c>
      <c r="FG10" t="s">
        <v>356</v>
      </c>
      <c r="FH10">
        <v>30441</v>
      </c>
      <c r="FR10">
        <v>1911.79</v>
      </c>
      <c r="FS10">
        <v>0</v>
      </c>
      <c r="GA10" t="s">
        <v>495</v>
      </c>
      <c r="GB10" t="s">
        <v>496</v>
      </c>
      <c r="GC10" t="s">
        <v>497</v>
      </c>
      <c r="GO10" t="s">
        <v>360</v>
      </c>
      <c r="GP10" t="s">
        <v>360</v>
      </c>
      <c r="GX10" t="s">
        <v>361</v>
      </c>
      <c r="GZ10">
        <v>1</v>
      </c>
      <c r="HJ10">
        <v>20250505</v>
      </c>
      <c r="HN10" t="s">
        <v>362</v>
      </c>
      <c r="HP10" t="s">
        <v>498</v>
      </c>
      <c r="HT10" t="s">
        <v>499</v>
      </c>
      <c r="HU10">
        <v>6410008089</v>
      </c>
      <c r="HV10" t="s">
        <v>360</v>
      </c>
      <c r="HY10" t="s">
        <v>500</v>
      </c>
      <c r="IC10">
        <v>4600</v>
      </c>
      <c r="ID10">
        <v>0</v>
      </c>
      <c r="IE10" t="s">
        <v>486</v>
      </c>
      <c r="IF10">
        <v>70</v>
      </c>
      <c r="IG10" t="s">
        <v>366</v>
      </c>
      <c r="IH10">
        <v>0.87604</v>
      </c>
      <c r="II10">
        <v>1</v>
      </c>
      <c r="IM10">
        <v>0.155</v>
      </c>
      <c r="IN10" t="s">
        <v>501</v>
      </c>
    </row>
    <row r="11" spans="1:248">
      <c r="A11" t="s">
        <v>502</v>
      </c>
      <c r="B11" t="s">
        <v>503</v>
      </c>
      <c r="C11" t="s">
        <v>502</v>
      </c>
      <c r="D11">
        <v>3</v>
      </c>
      <c r="E11">
        <v>3</v>
      </c>
      <c r="F11">
        <v>3</v>
      </c>
      <c r="G11">
        <v>1</v>
      </c>
      <c r="H11" t="s">
        <v>335</v>
      </c>
      <c r="I11" t="s">
        <v>336</v>
      </c>
      <c r="J11">
        <v>4000</v>
      </c>
      <c r="K11">
        <v>11</v>
      </c>
      <c r="L11" t="s">
        <v>337</v>
      </c>
      <c r="M11" t="s">
        <v>338</v>
      </c>
      <c r="N11" t="s">
        <v>339</v>
      </c>
      <c r="O11">
        <v>85371098990</v>
      </c>
      <c r="S11">
        <v>42</v>
      </c>
      <c r="T11">
        <v>46.1</v>
      </c>
      <c r="U11" t="s">
        <v>340</v>
      </c>
      <c r="V11">
        <v>1</v>
      </c>
      <c r="W11" t="s">
        <v>504</v>
      </c>
      <c r="X11" t="s">
        <v>342</v>
      </c>
      <c r="Y11" t="s">
        <v>343</v>
      </c>
      <c r="AB11">
        <v>4537.6</v>
      </c>
      <c r="AC11">
        <v>4537.6</v>
      </c>
      <c r="AD11" t="s">
        <v>344</v>
      </c>
      <c r="AE11">
        <v>1.1415</v>
      </c>
      <c r="AF11">
        <v>-56.57</v>
      </c>
      <c r="AG11" t="s">
        <v>344</v>
      </c>
      <c r="AH11">
        <v>3931.72</v>
      </c>
      <c r="AI11">
        <v>2.1</v>
      </c>
      <c r="AJ11">
        <v>2.1</v>
      </c>
      <c r="AK11">
        <v>82.57</v>
      </c>
      <c r="AL11">
        <v>49.56</v>
      </c>
      <c r="AM11">
        <v>4063.85</v>
      </c>
      <c r="AN11">
        <v>4063.85</v>
      </c>
      <c r="AO11">
        <v>772.13</v>
      </c>
      <c r="AP11">
        <v>82.57</v>
      </c>
      <c r="AQ11">
        <v>772.13</v>
      </c>
      <c r="AR11" t="s">
        <v>345</v>
      </c>
      <c r="AS11" t="s">
        <v>345</v>
      </c>
      <c r="AT11">
        <v>20250505</v>
      </c>
      <c r="BA11" t="s">
        <v>346</v>
      </c>
      <c r="BG11" t="s">
        <v>347</v>
      </c>
      <c r="BJ11">
        <v>4</v>
      </c>
      <c r="BL11" t="s">
        <v>505</v>
      </c>
      <c r="BP11">
        <v>100</v>
      </c>
      <c r="BQ11">
        <v>0</v>
      </c>
      <c r="BR11" t="s">
        <v>349</v>
      </c>
      <c r="BV11">
        <v>1</v>
      </c>
      <c r="BZ11" t="s">
        <v>336</v>
      </c>
      <c r="CA11" t="s">
        <v>350</v>
      </c>
      <c r="CC11" t="s">
        <v>351</v>
      </c>
      <c r="CE11" t="s">
        <v>351</v>
      </c>
      <c r="CH11">
        <v>20250422</v>
      </c>
      <c r="CI11" t="s">
        <v>352</v>
      </c>
      <c r="CL11">
        <v>257.15</v>
      </c>
      <c r="CM11" t="s">
        <v>344</v>
      </c>
      <c r="CN11">
        <v>7.03</v>
      </c>
      <c r="CO11" t="s">
        <v>344</v>
      </c>
      <c r="CS11">
        <v>4</v>
      </c>
      <c r="CT11" t="s">
        <v>353</v>
      </c>
      <c r="CU11" t="s">
        <v>354</v>
      </c>
      <c r="CV11">
        <v>4</v>
      </c>
      <c r="CZ11">
        <v>2.1</v>
      </c>
      <c r="DG11" t="s">
        <v>355</v>
      </c>
      <c r="DH11" t="s">
        <v>344</v>
      </c>
      <c r="DK11">
        <v>19</v>
      </c>
      <c r="DL11">
        <v>5</v>
      </c>
      <c r="DQ11">
        <v>0</v>
      </c>
      <c r="DR11">
        <v>0</v>
      </c>
      <c r="DU11">
        <v>20250503</v>
      </c>
      <c r="DZ11">
        <v>0</v>
      </c>
      <c r="EB11">
        <v>19</v>
      </c>
      <c r="ED11">
        <v>0</v>
      </c>
      <c r="EI11">
        <v>20250505</v>
      </c>
      <c r="EQ11">
        <v>20250505</v>
      </c>
      <c r="FE11" t="s">
        <v>356</v>
      </c>
      <c r="FF11">
        <v>20123</v>
      </c>
      <c r="FG11" t="s">
        <v>356</v>
      </c>
      <c r="FH11">
        <v>30441</v>
      </c>
      <c r="FR11">
        <v>82.57</v>
      </c>
      <c r="FS11">
        <v>0</v>
      </c>
      <c r="GA11" t="s">
        <v>506</v>
      </c>
      <c r="GB11" t="s">
        <v>507</v>
      </c>
      <c r="GC11" t="s">
        <v>508</v>
      </c>
      <c r="GO11" t="s">
        <v>360</v>
      </c>
      <c r="GP11" t="s">
        <v>360</v>
      </c>
      <c r="GX11" t="s">
        <v>361</v>
      </c>
      <c r="GZ11">
        <v>1</v>
      </c>
      <c r="HJ11">
        <v>20250505</v>
      </c>
      <c r="HN11" t="s">
        <v>362</v>
      </c>
      <c r="HP11" t="s">
        <v>509</v>
      </c>
      <c r="HT11" t="s">
        <v>364</v>
      </c>
      <c r="HU11">
        <v>6410008089</v>
      </c>
      <c r="HV11" t="s">
        <v>360</v>
      </c>
      <c r="HY11" t="s">
        <v>365</v>
      </c>
      <c r="IC11">
        <v>257.15</v>
      </c>
      <c r="ID11">
        <v>0</v>
      </c>
      <c r="IE11" t="s">
        <v>335</v>
      </c>
      <c r="IF11">
        <v>78</v>
      </c>
      <c r="IG11" t="s">
        <v>366</v>
      </c>
      <c r="IH11">
        <v>0.87604</v>
      </c>
      <c r="II11">
        <v>3</v>
      </c>
      <c r="IM11">
        <v>0.155</v>
      </c>
      <c r="IN11" t="s">
        <v>510</v>
      </c>
    </row>
    <row r="12" spans="1:248">
      <c r="A12" t="s">
        <v>511</v>
      </c>
      <c r="B12" t="s">
        <v>512</v>
      </c>
      <c r="C12" t="s">
        <v>511</v>
      </c>
      <c r="D12">
        <v>3</v>
      </c>
      <c r="E12">
        <v>3</v>
      </c>
      <c r="F12">
        <v>3</v>
      </c>
      <c r="G12">
        <v>1</v>
      </c>
      <c r="H12" t="s">
        <v>513</v>
      </c>
      <c r="I12" t="s">
        <v>514</v>
      </c>
      <c r="J12">
        <v>4000</v>
      </c>
      <c r="K12">
        <v>32</v>
      </c>
      <c r="L12" t="s">
        <v>337</v>
      </c>
      <c r="N12" t="s">
        <v>515</v>
      </c>
      <c r="O12">
        <v>85122000900</v>
      </c>
      <c r="S12">
        <v>27.2</v>
      </c>
      <c r="T12">
        <v>59</v>
      </c>
      <c r="U12" t="s">
        <v>340</v>
      </c>
      <c r="V12">
        <v>1</v>
      </c>
      <c r="W12" t="s">
        <v>516</v>
      </c>
      <c r="X12" t="s">
        <v>342</v>
      </c>
      <c r="Y12" t="s">
        <v>343</v>
      </c>
      <c r="AB12">
        <v>1583.52</v>
      </c>
      <c r="AC12">
        <v>1583.52</v>
      </c>
      <c r="AD12" t="s">
        <v>344</v>
      </c>
      <c r="AE12">
        <v>1.1415</v>
      </c>
      <c r="AF12">
        <v>-66.66</v>
      </c>
      <c r="AG12" t="s">
        <v>344</v>
      </c>
      <c r="AH12">
        <v>1330.98</v>
      </c>
      <c r="AI12">
        <v>2.7</v>
      </c>
      <c r="AJ12">
        <v>2.7</v>
      </c>
      <c r="AK12">
        <v>35.94</v>
      </c>
      <c r="AL12">
        <v>58.4</v>
      </c>
      <c r="AM12">
        <v>1425.32</v>
      </c>
      <c r="AN12">
        <v>1425.32</v>
      </c>
      <c r="AO12">
        <v>270.81</v>
      </c>
      <c r="AP12">
        <v>35.94</v>
      </c>
      <c r="AQ12">
        <v>270.81</v>
      </c>
      <c r="AR12" t="s">
        <v>517</v>
      </c>
      <c r="AS12" t="s">
        <v>517</v>
      </c>
      <c r="AT12">
        <v>20250506</v>
      </c>
      <c r="BA12" t="s">
        <v>346</v>
      </c>
      <c r="BG12" t="s">
        <v>347</v>
      </c>
      <c r="BJ12">
        <v>4</v>
      </c>
      <c r="BL12" t="s">
        <v>518</v>
      </c>
      <c r="BP12">
        <v>100</v>
      </c>
      <c r="BQ12">
        <v>0</v>
      </c>
      <c r="BR12" t="s">
        <v>349</v>
      </c>
      <c r="BV12">
        <v>1</v>
      </c>
      <c r="BZ12" t="s">
        <v>514</v>
      </c>
      <c r="CA12" t="s">
        <v>519</v>
      </c>
      <c r="CC12" t="s">
        <v>520</v>
      </c>
      <c r="CE12" t="s">
        <v>520</v>
      </c>
      <c r="CH12">
        <v>20250424</v>
      </c>
      <c r="CI12" t="s">
        <v>521</v>
      </c>
      <c r="CL12">
        <v>303</v>
      </c>
      <c r="CM12" t="s">
        <v>344</v>
      </c>
      <c r="CN12">
        <v>2.45</v>
      </c>
      <c r="CO12" t="s">
        <v>344</v>
      </c>
      <c r="CS12">
        <v>4</v>
      </c>
      <c r="CT12" t="s">
        <v>406</v>
      </c>
      <c r="CU12" t="s">
        <v>354</v>
      </c>
      <c r="CV12">
        <v>4</v>
      </c>
      <c r="CZ12">
        <v>2.7</v>
      </c>
      <c r="DG12" t="s">
        <v>355</v>
      </c>
      <c r="DH12" t="s">
        <v>344</v>
      </c>
      <c r="DK12">
        <v>19</v>
      </c>
      <c r="DL12">
        <v>5</v>
      </c>
      <c r="DQ12">
        <v>0</v>
      </c>
      <c r="DR12">
        <v>0</v>
      </c>
      <c r="DU12">
        <v>20250505</v>
      </c>
      <c r="DZ12">
        <v>0</v>
      </c>
      <c r="EB12">
        <v>19</v>
      </c>
      <c r="ED12">
        <v>0</v>
      </c>
      <c r="EI12">
        <v>20250506</v>
      </c>
      <c r="EQ12">
        <v>20250506</v>
      </c>
      <c r="FE12" t="s">
        <v>356</v>
      </c>
      <c r="FF12">
        <v>20123</v>
      </c>
      <c r="FG12" t="s">
        <v>356</v>
      </c>
      <c r="FH12">
        <v>30441</v>
      </c>
      <c r="FR12">
        <v>35.94</v>
      </c>
      <c r="FS12">
        <v>0</v>
      </c>
      <c r="GA12" t="s">
        <v>522</v>
      </c>
      <c r="GB12" t="s">
        <v>523</v>
      </c>
      <c r="GC12" t="s">
        <v>524</v>
      </c>
      <c r="GO12" t="s">
        <v>360</v>
      </c>
      <c r="GP12" t="s">
        <v>360</v>
      </c>
      <c r="GX12" t="s">
        <v>361</v>
      </c>
      <c r="GZ12">
        <v>1</v>
      </c>
      <c r="HJ12">
        <v>20250506</v>
      </c>
      <c r="HN12" t="s">
        <v>362</v>
      </c>
      <c r="HP12" t="s">
        <v>525</v>
      </c>
      <c r="HT12" t="s">
        <v>526</v>
      </c>
      <c r="HU12">
        <v>6410008089</v>
      </c>
      <c r="HV12" t="s">
        <v>360</v>
      </c>
      <c r="HY12" t="s">
        <v>527</v>
      </c>
      <c r="IC12">
        <v>303</v>
      </c>
      <c r="ID12">
        <v>0</v>
      </c>
      <c r="IE12" t="s">
        <v>513</v>
      </c>
      <c r="IF12">
        <v>78</v>
      </c>
      <c r="IG12" t="s">
        <v>366</v>
      </c>
      <c r="IH12">
        <v>0.87604</v>
      </c>
      <c r="II12">
        <v>3</v>
      </c>
      <c r="IM12">
        <v>0.155</v>
      </c>
      <c r="IN12" t="s">
        <v>528</v>
      </c>
    </row>
    <row r="13" spans="1:248">
      <c r="A13" t="s">
        <v>529</v>
      </c>
      <c r="B13" t="s">
        <v>530</v>
      </c>
      <c r="C13" t="s">
        <v>529</v>
      </c>
      <c r="D13">
        <v>3</v>
      </c>
      <c r="E13">
        <v>3</v>
      </c>
      <c r="F13">
        <v>3</v>
      </c>
      <c r="G13">
        <v>1</v>
      </c>
      <c r="H13" t="s">
        <v>428</v>
      </c>
      <c r="I13" t="s">
        <v>336</v>
      </c>
      <c r="J13">
        <v>4000</v>
      </c>
      <c r="K13">
        <v>11</v>
      </c>
      <c r="L13" t="s">
        <v>337</v>
      </c>
      <c r="N13" t="s">
        <v>531</v>
      </c>
      <c r="O13">
        <v>90019000900</v>
      </c>
      <c r="S13">
        <v>135.1</v>
      </c>
      <c r="T13">
        <v>156</v>
      </c>
      <c r="U13" t="s">
        <v>340</v>
      </c>
      <c r="V13">
        <v>1</v>
      </c>
      <c r="W13" t="s">
        <v>532</v>
      </c>
      <c r="X13" t="s">
        <v>342</v>
      </c>
      <c r="Y13" t="s">
        <v>343</v>
      </c>
      <c r="AB13">
        <v>328185</v>
      </c>
      <c r="AC13">
        <v>328185</v>
      </c>
      <c r="AD13" t="s">
        <v>375</v>
      </c>
      <c r="AE13">
        <v>1</v>
      </c>
      <c r="AF13">
        <v>-2421.9</v>
      </c>
      <c r="AG13" t="s">
        <v>533</v>
      </c>
      <c r="AH13">
        <v>328402.59</v>
      </c>
      <c r="AI13">
        <v>0</v>
      </c>
      <c r="AJ13">
        <v>0</v>
      </c>
      <c r="AK13">
        <v>0</v>
      </c>
      <c r="AL13">
        <v>291.1</v>
      </c>
      <c r="AM13">
        <v>328693.69</v>
      </c>
      <c r="AN13">
        <v>328693.69</v>
      </c>
      <c r="AO13">
        <v>62451.8</v>
      </c>
      <c r="AP13">
        <v>0</v>
      </c>
      <c r="AQ13">
        <v>62451.8</v>
      </c>
      <c r="AR13" t="s">
        <v>377</v>
      </c>
      <c r="AS13" t="s">
        <v>377</v>
      </c>
      <c r="AT13">
        <v>20250506</v>
      </c>
      <c r="BA13" t="s">
        <v>346</v>
      </c>
      <c r="BG13" t="s">
        <v>347</v>
      </c>
      <c r="BJ13">
        <v>4</v>
      </c>
      <c r="BL13" t="s">
        <v>534</v>
      </c>
      <c r="BP13">
        <v>100</v>
      </c>
      <c r="BQ13">
        <v>0</v>
      </c>
      <c r="BR13" t="s">
        <v>349</v>
      </c>
      <c r="BV13">
        <v>1</v>
      </c>
      <c r="BZ13" t="s">
        <v>336</v>
      </c>
      <c r="CA13" t="s">
        <v>535</v>
      </c>
      <c r="CC13" t="s">
        <v>351</v>
      </c>
      <c r="CE13" t="s">
        <v>351</v>
      </c>
      <c r="CH13">
        <v>20250424</v>
      </c>
      <c r="CI13" t="s">
        <v>536</v>
      </c>
      <c r="CL13">
        <v>8073</v>
      </c>
      <c r="CM13" t="s">
        <v>533</v>
      </c>
      <c r="CN13">
        <v>508.69</v>
      </c>
      <c r="CO13" t="s">
        <v>375</v>
      </c>
      <c r="CS13">
        <v>4</v>
      </c>
      <c r="CT13" t="s">
        <v>377</v>
      </c>
      <c r="CU13" t="s">
        <v>354</v>
      </c>
      <c r="CV13">
        <v>4</v>
      </c>
      <c r="CZ13">
        <v>0</v>
      </c>
      <c r="DG13" t="s">
        <v>355</v>
      </c>
      <c r="DH13" t="s">
        <v>375</v>
      </c>
      <c r="DK13">
        <v>19</v>
      </c>
      <c r="DL13">
        <v>5</v>
      </c>
      <c r="DQ13">
        <v>0</v>
      </c>
      <c r="DR13">
        <v>0</v>
      </c>
      <c r="DU13">
        <v>20250504</v>
      </c>
      <c r="DZ13">
        <v>0</v>
      </c>
      <c r="EB13">
        <v>19</v>
      </c>
      <c r="ED13">
        <v>0</v>
      </c>
      <c r="EI13">
        <v>20250506</v>
      </c>
      <c r="EQ13">
        <v>20250506</v>
      </c>
      <c r="FG13" t="s">
        <v>356</v>
      </c>
      <c r="FH13">
        <v>30441</v>
      </c>
      <c r="FR13">
        <v>0</v>
      </c>
      <c r="FS13">
        <v>0</v>
      </c>
      <c r="GA13" t="s">
        <v>537</v>
      </c>
      <c r="GB13" t="s">
        <v>538</v>
      </c>
      <c r="GC13" t="s">
        <v>539</v>
      </c>
      <c r="GO13" t="s">
        <v>360</v>
      </c>
      <c r="GP13" t="s">
        <v>360</v>
      </c>
      <c r="GX13" t="s">
        <v>361</v>
      </c>
      <c r="GZ13">
        <v>1</v>
      </c>
      <c r="HJ13">
        <v>20250506</v>
      </c>
      <c r="HN13" t="s">
        <v>362</v>
      </c>
      <c r="HP13" t="s">
        <v>540</v>
      </c>
      <c r="HT13" t="s">
        <v>541</v>
      </c>
      <c r="HU13">
        <v>6410008089</v>
      </c>
      <c r="HV13" t="s">
        <v>360</v>
      </c>
      <c r="HY13" t="s">
        <v>542</v>
      </c>
      <c r="IC13">
        <v>8073</v>
      </c>
      <c r="ID13">
        <v>0</v>
      </c>
      <c r="IE13" t="s">
        <v>428</v>
      </c>
      <c r="IF13">
        <v>70</v>
      </c>
      <c r="IG13" t="s">
        <v>366</v>
      </c>
      <c r="IH13">
        <v>0.120194</v>
      </c>
      <c r="II13">
        <v>3</v>
      </c>
      <c r="IM13">
        <v>0.155</v>
      </c>
      <c r="IN13" t="s">
        <v>543</v>
      </c>
    </row>
  </sheetData>
  <pageMargins left="0.7" right="0.7" top="0.75" bottom="0.75" header="0.3" footer="0.3"/>
  <headerFooter>
    <oddFooter>&amp;C
&amp;1#&amp;"Calibri"&amp;10&amp;K000000 DSV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7"/>
  <sheetViews>
    <sheetView workbookViewId="0">
      <selection activeCell="F15" sqref="F15"/>
    </sheetView>
  </sheetViews>
  <sheetFormatPr defaultColWidth="9" defaultRowHeight="16.8"/>
  <cols>
    <col min="1" max="1" width="12.7109375" style="1" customWidth="1"/>
    <col min="2" max="2" width="10.140625" customWidth="1"/>
    <col min="4" max="4" width="7.5703125" customWidth="1"/>
    <col min="8" max="8" width="9.4296875" customWidth="1"/>
    <col min="11" max="11" width="15.2890625" customWidth="1"/>
  </cols>
  <sheetData>
    <row r="1" ht="14.45" customHeight="1" spans="1:11">
      <c r="A1" s="2" t="s">
        <v>544</v>
      </c>
      <c r="B1" s="3"/>
      <c r="D1" s="2" t="s">
        <v>6</v>
      </c>
      <c r="E1" s="3"/>
      <c r="G1" s="2" t="s">
        <v>28</v>
      </c>
      <c r="H1" s="3"/>
      <c r="J1" s="2" t="s">
        <v>122</v>
      </c>
      <c r="K1" s="3"/>
    </row>
    <row r="2" spans="1:11">
      <c r="A2" s="4">
        <v>20240101</v>
      </c>
      <c r="B2" s="36" t="s">
        <v>545</v>
      </c>
      <c r="D2" s="4" t="s">
        <v>336</v>
      </c>
      <c r="E2" s="4" t="s">
        <v>44</v>
      </c>
      <c r="G2" s="4" t="s">
        <v>354</v>
      </c>
      <c r="H2" s="4" t="s">
        <v>546</v>
      </c>
      <c r="J2" s="4">
        <v>4000</v>
      </c>
      <c r="K2" s="4" t="s">
        <v>547</v>
      </c>
    </row>
    <row r="3" spans="1:11">
      <c r="A3" s="4">
        <v>20240102</v>
      </c>
      <c r="B3" s="36" t="s">
        <v>548</v>
      </c>
      <c r="D3" s="4" t="s">
        <v>549</v>
      </c>
      <c r="E3" s="4" t="s">
        <v>550</v>
      </c>
      <c r="G3" s="4" t="s">
        <v>551</v>
      </c>
      <c r="H3" s="4" t="s">
        <v>552</v>
      </c>
      <c r="J3" s="4">
        <v>4010</v>
      </c>
      <c r="K3" s="4" t="s">
        <v>553</v>
      </c>
    </row>
    <row r="4" spans="1:8">
      <c r="A4" s="4">
        <v>20240103</v>
      </c>
      <c r="B4" s="36" t="s">
        <v>554</v>
      </c>
      <c r="D4" s="4" t="s">
        <v>514</v>
      </c>
      <c r="E4" s="4" t="s">
        <v>555</v>
      </c>
      <c r="G4" s="4" t="s">
        <v>556</v>
      </c>
      <c r="H4" s="4" t="s">
        <v>557</v>
      </c>
    </row>
    <row r="5" spans="1:8">
      <c r="A5" s="4">
        <v>20240104</v>
      </c>
      <c r="B5" s="36" t="s">
        <v>558</v>
      </c>
      <c r="G5" s="4" t="s">
        <v>559</v>
      </c>
      <c r="H5" s="4" t="s">
        <v>560</v>
      </c>
    </row>
    <row r="6" spans="1:8">
      <c r="A6" s="4">
        <v>20240105</v>
      </c>
      <c r="B6" s="36" t="s">
        <v>561</v>
      </c>
      <c r="G6" s="4" t="s">
        <v>562</v>
      </c>
      <c r="H6" s="4" t="s">
        <v>557</v>
      </c>
    </row>
    <row r="7" spans="1:8">
      <c r="A7" s="4">
        <v>20240106</v>
      </c>
      <c r="B7" s="36" t="s">
        <v>563</v>
      </c>
      <c r="G7" s="4"/>
      <c r="H7" s="4"/>
    </row>
    <row r="8" spans="1:2">
      <c r="A8" s="4">
        <v>20240107</v>
      </c>
      <c r="B8" s="36" t="s">
        <v>564</v>
      </c>
    </row>
    <row r="9" spans="1:2">
      <c r="A9" s="4">
        <v>20240108</v>
      </c>
      <c r="B9" s="36" t="s">
        <v>565</v>
      </c>
    </row>
    <row r="10" spans="1:2">
      <c r="A10" s="4">
        <v>20240109</v>
      </c>
      <c r="B10" s="36" t="s">
        <v>566</v>
      </c>
    </row>
    <row r="11" spans="1:2">
      <c r="A11" s="4">
        <v>20240110</v>
      </c>
      <c r="B11" s="6">
        <v>45301</v>
      </c>
    </row>
    <row r="12" spans="1:2">
      <c r="A12" s="4">
        <v>20240111</v>
      </c>
      <c r="B12" s="6">
        <v>45302</v>
      </c>
    </row>
    <row r="13" spans="1:2">
      <c r="A13" s="4">
        <v>20240112</v>
      </c>
      <c r="B13" s="6">
        <v>45303</v>
      </c>
    </row>
    <row r="14" spans="1:2">
      <c r="A14" s="4">
        <v>20240113</v>
      </c>
      <c r="B14" s="6">
        <v>45304</v>
      </c>
    </row>
    <row r="15" spans="1:2">
      <c r="A15" s="4">
        <v>20240114</v>
      </c>
      <c r="B15" s="6">
        <v>45305</v>
      </c>
    </row>
    <row r="16" spans="1:2">
      <c r="A16" s="4">
        <v>20240115</v>
      </c>
      <c r="B16" s="6">
        <v>45306</v>
      </c>
    </row>
    <row r="17" spans="1:2">
      <c r="A17" s="4">
        <v>20240116</v>
      </c>
      <c r="B17" s="6">
        <v>45307</v>
      </c>
    </row>
    <row r="18" spans="1:2">
      <c r="A18" s="4">
        <v>20240117</v>
      </c>
      <c r="B18" s="6">
        <v>45308</v>
      </c>
    </row>
    <row r="19" spans="1:2">
      <c r="A19" s="4">
        <v>20240118</v>
      </c>
      <c r="B19" s="6">
        <v>45309</v>
      </c>
    </row>
    <row r="20" spans="1:2">
      <c r="A20" s="4">
        <v>20240119</v>
      </c>
      <c r="B20" s="6">
        <v>45310</v>
      </c>
    </row>
    <row r="21" spans="1:2">
      <c r="A21" s="4">
        <v>20240120</v>
      </c>
      <c r="B21" s="6">
        <v>45311</v>
      </c>
    </row>
    <row r="22" spans="1:2">
      <c r="A22" s="4">
        <v>20240121</v>
      </c>
      <c r="B22" s="6">
        <v>45312</v>
      </c>
    </row>
    <row r="23" spans="1:2">
      <c r="A23" s="4">
        <v>20240122</v>
      </c>
      <c r="B23" s="6">
        <v>45313</v>
      </c>
    </row>
    <row r="24" spans="1:2">
      <c r="A24" s="4">
        <v>20240123</v>
      </c>
      <c r="B24" s="6">
        <v>45314</v>
      </c>
    </row>
    <row r="25" spans="1:2">
      <c r="A25" s="4">
        <v>20240124</v>
      </c>
      <c r="B25" s="6">
        <v>45315</v>
      </c>
    </row>
    <row r="26" spans="1:2">
      <c r="A26" s="4">
        <v>20240125</v>
      </c>
      <c r="B26" s="6">
        <v>45316</v>
      </c>
    </row>
    <row r="27" spans="1:2">
      <c r="A27" s="4">
        <v>20240126</v>
      </c>
      <c r="B27" s="6">
        <v>45317</v>
      </c>
    </row>
    <row r="28" spans="1:2">
      <c r="A28" s="4">
        <v>20240127</v>
      </c>
      <c r="B28" s="6">
        <v>45318</v>
      </c>
    </row>
    <row r="29" spans="1:2">
      <c r="A29" s="4">
        <v>20240128</v>
      </c>
      <c r="B29" s="6">
        <v>45319</v>
      </c>
    </row>
    <row r="30" spans="1:2">
      <c r="A30" s="4">
        <v>20240129</v>
      </c>
      <c r="B30" s="6">
        <v>45320</v>
      </c>
    </row>
    <row r="31" spans="1:2">
      <c r="A31" s="4">
        <v>20240130</v>
      </c>
      <c r="B31" s="6">
        <v>45321</v>
      </c>
    </row>
    <row r="32" spans="1:2">
      <c r="A32" s="4">
        <v>20240131</v>
      </c>
      <c r="B32" s="6">
        <v>45322</v>
      </c>
    </row>
    <row r="33" spans="1:2">
      <c r="A33" s="4">
        <v>20240201</v>
      </c>
      <c r="B33" s="36" t="s">
        <v>567</v>
      </c>
    </row>
    <row r="34" spans="1:2">
      <c r="A34" s="4">
        <v>20240202</v>
      </c>
      <c r="B34" s="36" t="s">
        <v>568</v>
      </c>
    </row>
    <row r="35" spans="1:2">
      <c r="A35" s="4">
        <v>20240203</v>
      </c>
      <c r="B35" s="36" t="s">
        <v>569</v>
      </c>
    </row>
    <row r="36" spans="1:2">
      <c r="A36" s="4">
        <v>20240204</v>
      </c>
      <c r="B36" s="36" t="s">
        <v>570</v>
      </c>
    </row>
    <row r="37" spans="1:2">
      <c r="A37" s="4">
        <v>20240205</v>
      </c>
      <c r="B37" s="36" t="s">
        <v>571</v>
      </c>
    </row>
    <row r="38" spans="1:2">
      <c r="A38" s="4">
        <v>20240206</v>
      </c>
      <c r="B38" s="36" t="s">
        <v>572</v>
      </c>
    </row>
    <row r="39" spans="1:2">
      <c r="A39" s="4">
        <v>20240207</v>
      </c>
      <c r="B39" s="36" t="s">
        <v>573</v>
      </c>
    </row>
    <row r="40" spans="1:2">
      <c r="A40" s="4">
        <v>20240208</v>
      </c>
      <c r="B40" s="36" t="s">
        <v>574</v>
      </c>
    </row>
    <row r="41" spans="1:2">
      <c r="A41" s="4">
        <v>20240209</v>
      </c>
      <c r="B41" s="36" t="s">
        <v>575</v>
      </c>
    </row>
    <row r="42" spans="1:2">
      <c r="A42" s="4">
        <v>20240210</v>
      </c>
      <c r="B42" s="6">
        <v>45332</v>
      </c>
    </row>
    <row r="43" spans="1:2">
      <c r="A43" s="4">
        <v>20240211</v>
      </c>
      <c r="B43" s="6">
        <v>45333</v>
      </c>
    </row>
    <row r="44" spans="1:2">
      <c r="A44" s="4">
        <v>20240212</v>
      </c>
      <c r="B44" s="6">
        <v>45334</v>
      </c>
    </row>
    <row r="45" spans="1:2">
      <c r="A45" s="4">
        <v>20240213</v>
      </c>
      <c r="B45" s="6">
        <v>45335</v>
      </c>
    </row>
    <row r="46" spans="1:2">
      <c r="A46" s="4">
        <v>20240214</v>
      </c>
      <c r="B46" s="6">
        <v>45336</v>
      </c>
    </row>
    <row r="47" spans="1:2">
      <c r="A47" s="4">
        <v>20240215</v>
      </c>
      <c r="B47" s="6">
        <v>45337</v>
      </c>
    </row>
    <row r="48" spans="1:2">
      <c r="A48" s="4">
        <v>20240216</v>
      </c>
      <c r="B48" s="6">
        <v>45338</v>
      </c>
    </row>
    <row r="49" spans="1:2">
      <c r="A49" s="4">
        <v>20240217</v>
      </c>
      <c r="B49" s="6">
        <v>45339</v>
      </c>
    </row>
    <row r="50" spans="1:2">
      <c r="A50" s="4">
        <v>20240218</v>
      </c>
      <c r="B50" s="6">
        <v>45340</v>
      </c>
    </row>
    <row r="51" spans="1:2">
      <c r="A51" s="4">
        <v>20240219</v>
      </c>
      <c r="B51" s="6">
        <v>45341</v>
      </c>
    </row>
    <row r="52" spans="1:2">
      <c r="A52" s="4">
        <v>20240220</v>
      </c>
      <c r="B52" s="6">
        <v>45342</v>
      </c>
    </row>
    <row r="53" spans="1:2">
      <c r="A53" s="4">
        <v>20240221</v>
      </c>
      <c r="B53" s="6">
        <v>45343</v>
      </c>
    </row>
    <row r="54" spans="1:2">
      <c r="A54" s="4">
        <v>20240222</v>
      </c>
      <c r="B54" s="6">
        <v>45344</v>
      </c>
    </row>
    <row r="55" spans="1:2">
      <c r="A55" s="4">
        <v>20240223</v>
      </c>
      <c r="B55" s="6">
        <v>45345</v>
      </c>
    </row>
    <row r="56" spans="1:2">
      <c r="A56" s="4">
        <v>20240224</v>
      </c>
      <c r="B56" s="6">
        <v>45346</v>
      </c>
    </row>
    <row r="57" spans="1:2">
      <c r="A57" s="4">
        <v>20240225</v>
      </c>
      <c r="B57" s="6">
        <v>45347</v>
      </c>
    </row>
    <row r="58" spans="1:2">
      <c r="A58" s="4">
        <v>20240226</v>
      </c>
      <c r="B58" s="6">
        <v>45348</v>
      </c>
    </row>
    <row r="59" spans="1:2">
      <c r="A59" s="4">
        <v>20240227</v>
      </c>
      <c r="B59" s="6">
        <v>45349</v>
      </c>
    </row>
    <row r="60" spans="1:2">
      <c r="A60" s="4">
        <v>20240228</v>
      </c>
      <c r="B60" s="6">
        <v>45350</v>
      </c>
    </row>
    <row r="61" spans="1:2">
      <c r="A61" s="4">
        <v>20240229</v>
      </c>
      <c r="B61" s="6">
        <v>45351</v>
      </c>
    </row>
    <row r="62" spans="1:2">
      <c r="A62" s="7">
        <v>20240301</v>
      </c>
      <c r="B62" s="36" t="s">
        <v>576</v>
      </c>
    </row>
    <row r="63" spans="1:2">
      <c r="A63" s="7">
        <v>20240302</v>
      </c>
      <c r="B63" s="36" t="s">
        <v>577</v>
      </c>
    </row>
    <row r="64" spans="1:2">
      <c r="A64" s="7">
        <v>20240303</v>
      </c>
      <c r="B64" s="36" t="s">
        <v>578</v>
      </c>
    </row>
    <row r="65" spans="1:2">
      <c r="A65" s="7">
        <v>20240304</v>
      </c>
      <c r="B65" s="36" t="s">
        <v>579</v>
      </c>
    </row>
    <row r="66" spans="1:2">
      <c r="A66" s="7">
        <v>20240305</v>
      </c>
      <c r="B66" s="36" t="s">
        <v>580</v>
      </c>
    </row>
    <row r="67" spans="1:2">
      <c r="A67" s="7">
        <v>20240306</v>
      </c>
      <c r="B67" s="36" t="s">
        <v>581</v>
      </c>
    </row>
    <row r="68" spans="1:2">
      <c r="A68" s="7">
        <v>20240307</v>
      </c>
      <c r="B68" s="36" t="s">
        <v>582</v>
      </c>
    </row>
    <row r="69" spans="1:2">
      <c r="A69" s="7">
        <v>20240308</v>
      </c>
      <c r="B69" s="36" t="s">
        <v>583</v>
      </c>
    </row>
    <row r="70" spans="1:2">
      <c r="A70" s="7">
        <v>20240309</v>
      </c>
      <c r="B70" s="36" t="s">
        <v>584</v>
      </c>
    </row>
    <row r="71" spans="1:2">
      <c r="A71" s="7">
        <v>20240310</v>
      </c>
      <c r="B71" s="6">
        <v>45361</v>
      </c>
    </row>
    <row r="72" spans="1:2">
      <c r="A72" s="7">
        <v>20240311</v>
      </c>
      <c r="B72" s="6">
        <v>45362</v>
      </c>
    </row>
    <row r="73" spans="1:2">
      <c r="A73" s="7">
        <v>20240312</v>
      </c>
      <c r="B73" s="6">
        <v>45363</v>
      </c>
    </row>
    <row r="74" spans="1:2">
      <c r="A74" s="7">
        <v>20240313</v>
      </c>
      <c r="B74" s="6">
        <v>45364</v>
      </c>
    </row>
    <row r="75" spans="1:2">
      <c r="A75" s="7">
        <v>20240314</v>
      </c>
      <c r="B75" s="6">
        <v>45365</v>
      </c>
    </row>
    <row r="76" spans="1:2">
      <c r="A76" s="7">
        <v>20240315</v>
      </c>
      <c r="B76" s="6">
        <v>45366</v>
      </c>
    </row>
    <row r="77" spans="1:2">
      <c r="A77" s="7">
        <v>20240316</v>
      </c>
      <c r="B77" s="6">
        <v>45367</v>
      </c>
    </row>
    <row r="78" spans="1:2">
      <c r="A78" s="7">
        <v>20240317</v>
      </c>
      <c r="B78" s="6">
        <v>45368</v>
      </c>
    </row>
    <row r="79" spans="1:2">
      <c r="A79" s="7">
        <v>20240318</v>
      </c>
      <c r="B79" s="6">
        <v>45369</v>
      </c>
    </row>
    <row r="80" spans="1:2">
      <c r="A80" s="7">
        <v>20240319</v>
      </c>
      <c r="B80" s="6">
        <v>45370</v>
      </c>
    </row>
    <row r="81" spans="1:2">
      <c r="A81" s="7">
        <v>20240320</v>
      </c>
      <c r="B81" s="6">
        <v>45371</v>
      </c>
    </row>
    <row r="82" spans="1:2">
      <c r="A82" s="7">
        <v>20240321</v>
      </c>
      <c r="B82" s="6">
        <v>45372</v>
      </c>
    </row>
    <row r="83" spans="1:2">
      <c r="A83" s="7">
        <v>20240322</v>
      </c>
      <c r="B83" s="6">
        <v>45373</v>
      </c>
    </row>
    <row r="84" spans="1:2">
      <c r="A84" s="7">
        <v>20240323</v>
      </c>
      <c r="B84" s="6">
        <v>45374</v>
      </c>
    </row>
    <row r="85" spans="1:2">
      <c r="A85" s="7">
        <v>20240324</v>
      </c>
      <c r="B85" s="6">
        <v>45375</v>
      </c>
    </row>
    <row r="86" spans="1:2">
      <c r="A86" s="7">
        <v>20240325</v>
      </c>
      <c r="B86" s="6">
        <v>45376</v>
      </c>
    </row>
    <row r="87" spans="1:2">
      <c r="A87" s="7">
        <v>20240326</v>
      </c>
      <c r="B87" s="6">
        <v>45377</v>
      </c>
    </row>
    <row r="88" spans="1:2">
      <c r="A88" s="7">
        <v>20240327</v>
      </c>
      <c r="B88" s="6">
        <v>45378</v>
      </c>
    </row>
    <row r="89" spans="1:2">
      <c r="A89" s="7">
        <v>20240328</v>
      </c>
      <c r="B89" s="6">
        <v>45379</v>
      </c>
    </row>
    <row r="90" spans="1:2">
      <c r="A90" s="7">
        <v>20240329</v>
      </c>
      <c r="B90" s="6">
        <v>45380</v>
      </c>
    </row>
    <row r="91" spans="1:2">
      <c r="A91" s="7">
        <v>20240330</v>
      </c>
      <c r="B91" s="6">
        <v>45381</v>
      </c>
    </row>
    <row r="92" spans="1:2">
      <c r="A92" s="7">
        <v>20240331</v>
      </c>
      <c r="B92" s="6">
        <v>45382</v>
      </c>
    </row>
    <row r="93" spans="1:2">
      <c r="A93" s="1">
        <v>20240401</v>
      </c>
      <c r="B93" s="6">
        <v>45383</v>
      </c>
    </row>
    <row r="94" spans="1:2">
      <c r="A94" s="1">
        <v>20240402</v>
      </c>
      <c r="B94" s="6">
        <v>45384</v>
      </c>
    </row>
    <row r="95" spans="1:2">
      <c r="A95" s="1">
        <v>20240403</v>
      </c>
      <c r="B95" s="6">
        <v>45385</v>
      </c>
    </row>
    <row r="96" spans="1:2">
      <c r="A96" s="1">
        <v>20240404</v>
      </c>
      <c r="B96" s="6">
        <v>45386</v>
      </c>
    </row>
    <row r="97" spans="1:2">
      <c r="A97" s="1">
        <v>20240405</v>
      </c>
      <c r="B97" s="6">
        <v>45387</v>
      </c>
    </row>
    <row r="98" spans="1:2">
      <c r="A98" s="1">
        <v>20240406</v>
      </c>
      <c r="B98" s="6">
        <v>45388</v>
      </c>
    </row>
    <row r="99" spans="1:2">
      <c r="A99" s="1">
        <v>20240407</v>
      </c>
      <c r="B99" s="6">
        <v>45389</v>
      </c>
    </row>
    <row r="100" spans="1:2">
      <c r="A100" s="1">
        <v>20240408</v>
      </c>
      <c r="B100" s="6">
        <v>45390</v>
      </c>
    </row>
    <row r="101" spans="1:2">
      <c r="A101" s="1">
        <v>20240409</v>
      </c>
      <c r="B101" s="6">
        <v>45391</v>
      </c>
    </row>
    <row r="102" spans="1:2">
      <c r="A102" s="1">
        <v>20240410</v>
      </c>
      <c r="B102" s="6">
        <v>45392</v>
      </c>
    </row>
    <row r="103" spans="1:2">
      <c r="A103" s="1">
        <v>20240411</v>
      </c>
      <c r="B103" s="6">
        <v>45393</v>
      </c>
    </row>
    <row r="104" spans="1:2">
      <c r="A104" s="1">
        <v>20240412</v>
      </c>
      <c r="B104" s="6">
        <v>45394</v>
      </c>
    </row>
    <row r="105" spans="1:2">
      <c r="A105" s="1">
        <v>20240413</v>
      </c>
      <c r="B105" s="6">
        <v>45395</v>
      </c>
    </row>
    <row r="106" spans="1:2">
      <c r="A106" s="1">
        <v>20240414</v>
      </c>
      <c r="B106" s="6">
        <v>45396</v>
      </c>
    </row>
    <row r="107" spans="1:2">
      <c r="A107" s="1">
        <v>20240415</v>
      </c>
      <c r="B107" s="6">
        <v>45397</v>
      </c>
    </row>
    <row r="108" spans="1:2">
      <c r="A108" s="1">
        <v>20240416</v>
      </c>
      <c r="B108" s="6">
        <v>45398</v>
      </c>
    </row>
    <row r="109" spans="1:2">
      <c r="A109" s="1">
        <v>20240417</v>
      </c>
      <c r="B109" s="6">
        <v>45399</v>
      </c>
    </row>
    <row r="110" spans="1:2">
      <c r="A110" s="1">
        <v>20240418</v>
      </c>
      <c r="B110" s="6">
        <v>45400</v>
      </c>
    </row>
    <row r="111" spans="1:2">
      <c r="A111" s="1">
        <v>20240419</v>
      </c>
      <c r="B111" s="6">
        <v>45401</v>
      </c>
    </row>
    <row r="112" spans="1:2">
      <c r="A112" s="1">
        <v>20240420</v>
      </c>
      <c r="B112" s="6">
        <v>45402</v>
      </c>
    </row>
    <row r="113" spans="1:2">
      <c r="A113" s="1">
        <v>20240421</v>
      </c>
      <c r="B113" s="6">
        <v>45403</v>
      </c>
    </row>
    <row r="114" spans="1:2">
      <c r="A114" s="1">
        <v>20240422</v>
      </c>
      <c r="B114" s="6">
        <v>45404</v>
      </c>
    </row>
    <row r="115" spans="1:2">
      <c r="A115" s="1">
        <v>20240423</v>
      </c>
      <c r="B115" s="6">
        <v>45405</v>
      </c>
    </row>
    <row r="116" spans="1:2">
      <c r="A116" s="1">
        <v>20240424</v>
      </c>
      <c r="B116" s="6">
        <v>45406</v>
      </c>
    </row>
    <row r="117" spans="1:2">
      <c r="A117" s="1">
        <v>20240425</v>
      </c>
      <c r="B117" s="6">
        <v>45407</v>
      </c>
    </row>
    <row r="118" spans="1:2">
      <c r="A118" s="1">
        <v>20240426</v>
      </c>
      <c r="B118" s="6">
        <v>45408</v>
      </c>
    </row>
    <row r="119" spans="1:2">
      <c r="A119" s="1">
        <v>20240427</v>
      </c>
      <c r="B119" s="6">
        <v>45409</v>
      </c>
    </row>
    <row r="120" spans="1:2">
      <c r="A120" s="1">
        <v>20240428</v>
      </c>
      <c r="B120" s="6">
        <v>45410</v>
      </c>
    </row>
    <row r="121" spans="1:2">
      <c r="A121" s="1">
        <v>20240429</v>
      </c>
      <c r="B121" s="6">
        <v>45411</v>
      </c>
    </row>
    <row r="122" spans="1:2">
      <c r="A122" s="1">
        <v>20240430</v>
      </c>
      <c r="B122" s="6">
        <v>45412</v>
      </c>
    </row>
    <row r="123" spans="1:2">
      <c r="A123" s="1">
        <v>20240501</v>
      </c>
      <c r="B123" s="6">
        <v>45413</v>
      </c>
    </row>
    <row r="124" spans="1:2">
      <c r="A124" s="1">
        <v>20240502</v>
      </c>
      <c r="B124" s="6">
        <v>45414</v>
      </c>
    </row>
    <row r="125" spans="1:2">
      <c r="A125" s="1">
        <v>20240503</v>
      </c>
      <c r="B125" s="6">
        <v>45415</v>
      </c>
    </row>
    <row r="126" spans="1:2">
      <c r="A126" s="1">
        <v>20240504</v>
      </c>
      <c r="B126" s="6">
        <v>45416</v>
      </c>
    </row>
    <row r="127" spans="1:2">
      <c r="A127" s="1">
        <v>20240505</v>
      </c>
      <c r="B127" s="6">
        <v>45417</v>
      </c>
    </row>
    <row r="128" spans="1:2">
      <c r="A128" s="1">
        <v>20240506</v>
      </c>
      <c r="B128" s="6">
        <v>45418</v>
      </c>
    </row>
    <row r="129" spans="1:2">
      <c r="A129" s="1">
        <v>20240507</v>
      </c>
      <c r="B129" s="6">
        <v>45419</v>
      </c>
    </row>
    <row r="130" spans="1:2">
      <c r="A130" s="1">
        <v>20240508</v>
      </c>
      <c r="B130" s="6">
        <v>45420</v>
      </c>
    </row>
    <row r="131" spans="1:2">
      <c r="A131" s="1">
        <v>20240509</v>
      </c>
      <c r="B131" s="6">
        <v>45421</v>
      </c>
    </row>
    <row r="132" spans="1:2">
      <c r="A132" s="1">
        <v>20240510</v>
      </c>
      <c r="B132" s="6">
        <v>45422</v>
      </c>
    </row>
    <row r="133" spans="1:2">
      <c r="A133" s="1">
        <v>20240511</v>
      </c>
      <c r="B133" s="6">
        <v>45423</v>
      </c>
    </row>
    <row r="134" spans="1:2">
      <c r="A134" s="1">
        <v>20240512</v>
      </c>
      <c r="B134" s="6">
        <v>45424</v>
      </c>
    </row>
    <row r="135" spans="1:2">
      <c r="A135" s="1">
        <v>20240513</v>
      </c>
      <c r="B135" s="6">
        <v>45425</v>
      </c>
    </row>
    <row r="136" spans="1:2">
      <c r="A136" s="1">
        <v>20240514</v>
      </c>
      <c r="B136" s="6">
        <v>45426</v>
      </c>
    </row>
    <row r="137" spans="1:2">
      <c r="A137" s="1">
        <v>20240515</v>
      </c>
      <c r="B137" s="6">
        <v>45427</v>
      </c>
    </row>
    <row r="138" spans="1:2">
      <c r="A138" s="1">
        <v>20240516</v>
      </c>
      <c r="B138" s="6">
        <v>45428</v>
      </c>
    </row>
    <row r="139" spans="1:2">
      <c r="A139" s="1">
        <v>20240517</v>
      </c>
      <c r="B139" s="6">
        <v>45429</v>
      </c>
    </row>
    <row r="140" spans="1:2">
      <c r="A140" s="1">
        <v>20240518</v>
      </c>
      <c r="B140" s="6">
        <v>45430</v>
      </c>
    </row>
    <row r="141" spans="1:2">
      <c r="A141" s="1">
        <v>20240519</v>
      </c>
      <c r="B141" s="6">
        <v>45431</v>
      </c>
    </row>
    <row r="142" spans="1:2">
      <c r="A142" s="1">
        <v>20240520</v>
      </c>
      <c r="B142" s="6">
        <v>45432</v>
      </c>
    </row>
    <row r="143" spans="1:2">
      <c r="A143" s="1">
        <v>20240521</v>
      </c>
      <c r="B143" s="6">
        <v>45433</v>
      </c>
    </row>
    <row r="144" spans="1:2">
      <c r="A144" s="1">
        <v>20240522</v>
      </c>
      <c r="B144" s="6">
        <v>45434</v>
      </c>
    </row>
    <row r="145" spans="1:2">
      <c r="A145" s="1">
        <v>20240523</v>
      </c>
      <c r="B145" s="6">
        <v>45435</v>
      </c>
    </row>
    <row r="146" spans="1:2">
      <c r="A146" s="1">
        <v>20240524</v>
      </c>
      <c r="B146" s="6">
        <v>45436</v>
      </c>
    </row>
    <row r="147" spans="1:2">
      <c r="A147" s="1">
        <v>20240525</v>
      </c>
      <c r="B147" s="6">
        <v>45437</v>
      </c>
    </row>
    <row r="148" spans="1:2">
      <c r="A148" s="1">
        <v>20240526</v>
      </c>
      <c r="B148" s="6">
        <v>45438</v>
      </c>
    </row>
    <row r="149" spans="1:2">
      <c r="A149" s="1">
        <v>20240527</v>
      </c>
      <c r="B149" s="6">
        <v>45439</v>
      </c>
    </row>
    <row r="150" spans="1:2">
      <c r="A150" s="1">
        <v>20240528</v>
      </c>
      <c r="B150" s="6">
        <v>45440</v>
      </c>
    </row>
    <row r="151" spans="1:2">
      <c r="A151" s="1">
        <v>20240529</v>
      </c>
      <c r="B151" s="6">
        <v>45441</v>
      </c>
    </row>
    <row r="152" spans="1:2">
      <c r="A152" s="1">
        <v>20240530</v>
      </c>
      <c r="B152" s="6">
        <v>45442</v>
      </c>
    </row>
    <row r="153" spans="1:2">
      <c r="A153" s="1">
        <v>20240531</v>
      </c>
      <c r="B153" s="6">
        <v>45443</v>
      </c>
    </row>
    <row r="154" spans="1:2">
      <c r="A154" s="1">
        <v>20240601</v>
      </c>
      <c r="B154" s="6">
        <v>45444</v>
      </c>
    </row>
    <row r="155" spans="1:2">
      <c r="A155" s="1">
        <v>20240602</v>
      </c>
      <c r="B155" s="6">
        <v>45445</v>
      </c>
    </row>
    <row r="156" spans="1:2">
      <c r="A156" s="1">
        <v>20240603</v>
      </c>
      <c r="B156" s="6">
        <v>45446</v>
      </c>
    </row>
    <row r="157" spans="1:2">
      <c r="A157" s="1">
        <v>20240604</v>
      </c>
      <c r="B157" s="6">
        <v>45447</v>
      </c>
    </row>
    <row r="158" spans="1:2">
      <c r="A158" s="1">
        <v>20240605</v>
      </c>
      <c r="B158" s="6">
        <v>45448</v>
      </c>
    </row>
    <row r="159" spans="1:2">
      <c r="A159" s="1">
        <v>20240606</v>
      </c>
      <c r="B159" s="6">
        <v>45449</v>
      </c>
    </row>
    <row r="160" spans="1:2">
      <c r="A160" s="1">
        <v>20240607</v>
      </c>
      <c r="B160" s="6">
        <v>45450</v>
      </c>
    </row>
    <row r="161" spans="1:2">
      <c r="A161" s="1">
        <v>20240608</v>
      </c>
      <c r="B161" s="6">
        <v>45451</v>
      </c>
    </row>
    <row r="162" spans="1:2">
      <c r="A162" s="1">
        <v>20240609</v>
      </c>
      <c r="B162" s="6">
        <v>45452</v>
      </c>
    </row>
    <row r="163" spans="1:2">
      <c r="A163" s="1">
        <v>20240610</v>
      </c>
      <c r="B163" s="6">
        <v>45453</v>
      </c>
    </row>
    <row r="164" spans="1:2">
      <c r="A164" s="1">
        <v>20240611</v>
      </c>
      <c r="B164" s="6">
        <v>45454</v>
      </c>
    </row>
    <row r="165" spans="1:2">
      <c r="A165" s="1">
        <v>20240612</v>
      </c>
      <c r="B165" s="6">
        <v>45455</v>
      </c>
    </row>
    <row r="166" spans="1:2">
      <c r="A166" s="1">
        <v>20240613</v>
      </c>
      <c r="B166" s="6">
        <v>45456</v>
      </c>
    </row>
    <row r="167" spans="1:2">
      <c r="A167" s="1">
        <v>20240614</v>
      </c>
      <c r="B167" s="6">
        <v>45457</v>
      </c>
    </row>
    <row r="168" spans="1:2">
      <c r="A168" s="1">
        <v>20240615</v>
      </c>
      <c r="B168" s="6">
        <v>45458</v>
      </c>
    </row>
    <row r="169" spans="1:2">
      <c r="A169" s="1">
        <v>20240616</v>
      </c>
      <c r="B169" s="6">
        <v>45459</v>
      </c>
    </row>
    <row r="170" spans="1:2">
      <c r="A170" s="1">
        <v>20240617</v>
      </c>
      <c r="B170" s="6">
        <v>45460</v>
      </c>
    </row>
    <row r="171" spans="1:2">
      <c r="A171" s="1">
        <v>20240618</v>
      </c>
      <c r="B171" s="6">
        <v>45461</v>
      </c>
    </row>
    <row r="172" spans="1:2">
      <c r="A172" s="1">
        <v>20240619</v>
      </c>
      <c r="B172" s="6">
        <v>45462</v>
      </c>
    </row>
    <row r="173" spans="1:2">
      <c r="A173" s="1">
        <v>20240620</v>
      </c>
      <c r="B173" s="6">
        <v>45463</v>
      </c>
    </row>
    <row r="174" spans="1:2">
      <c r="A174" s="1">
        <v>20240621</v>
      </c>
      <c r="B174" s="6">
        <v>45464</v>
      </c>
    </row>
    <row r="175" spans="1:2">
      <c r="A175" s="1">
        <v>20240622</v>
      </c>
      <c r="B175" s="6">
        <v>45465</v>
      </c>
    </row>
    <row r="176" spans="1:2">
      <c r="A176" s="1">
        <v>20240623</v>
      </c>
      <c r="B176" s="6">
        <v>45466</v>
      </c>
    </row>
    <row r="177" spans="1:2">
      <c r="A177" s="1">
        <v>20240624</v>
      </c>
      <c r="B177" s="6">
        <v>45467</v>
      </c>
    </row>
    <row r="178" spans="1:2">
      <c r="A178" s="1">
        <v>20240625</v>
      </c>
      <c r="B178" s="6">
        <v>45468</v>
      </c>
    </row>
    <row r="179" spans="1:2">
      <c r="A179" s="1">
        <v>20240626</v>
      </c>
      <c r="B179" s="6">
        <v>45469</v>
      </c>
    </row>
    <row r="180" spans="1:2">
      <c r="A180" s="1">
        <v>20240627</v>
      </c>
      <c r="B180" s="6">
        <v>45470</v>
      </c>
    </row>
    <row r="181" spans="1:2">
      <c r="A181" s="1">
        <v>20240628</v>
      </c>
      <c r="B181" s="6">
        <v>45471</v>
      </c>
    </row>
    <row r="182" spans="1:2">
      <c r="A182" s="1">
        <v>20240629</v>
      </c>
      <c r="B182" s="6">
        <v>45472</v>
      </c>
    </row>
    <row r="183" spans="1:2">
      <c r="A183" s="1">
        <v>20240630</v>
      </c>
      <c r="B183" s="6">
        <v>45473</v>
      </c>
    </row>
    <row r="184" spans="1:2">
      <c r="A184" s="1">
        <v>20240701</v>
      </c>
      <c r="B184" s="6">
        <v>45474</v>
      </c>
    </row>
    <row r="185" spans="1:2">
      <c r="A185" s="1">
        <v>20240702</v>
      </c>
      <c r="B185" s="6">
        <v>45475</v>
      </c>
    </row>
    <row r="186" spans="1:2">
      <c r="A186" s="1">
        <v>20240703</v>
      </c>
      <c r="B186" s="6">
        <v>45476</v>
      </c>
    </row>
    <row r="187" spans="1:2">
      <c r="A187" s="1">
        <v>20240704</v>
      </c>
      <c r="B187" s="6">
        <v>45477</v>
      </c>
    </row>
    <row r="188" spans="1:2">
      <c r="A188" s="1">
        <v>20240705</v>
      </c>
      <c r="B188" s="6">
        <v>45478</v>
      </c>
    </row>
    <row r="189" spans="1:2">
      <c r="A189" s="1">
        <v>20240706</v>
      </c>
      <c r="B189" s="6">
        <v>45479</v>
      </c>
    </row>
    <row r="190" spans="1:2">
      <c r="A190" s="1">
        <v>20240707</v>
      </c>
      <c r="B190" s="6">
        <v>45480</v>
      </c>
    </row>
    <row r="191" spans="1:2">
      <c r="A191" s="1">
        <v>20240708</v>
      </c>
      <c r="B191" s="6">
        <v>45481</v>
      </c>
    </row>
    <row r="192" spans="1:2">
      <c r="A192" s="1">
        <v>20240709</v>
      </c>
      <c r="B192" s="6">
        <v>45482</v>
      </c>
    </row>
    <row r="193" spans="1:2">
      <c r="A193" s="1">
        <v>20240710</v>
      </c>
      <c r="B193" s="6">
        <v>45483</v>
      </c>
    </row>
    <row r="194" spans="1:2">
      <c r="A194" s="1">
        <v>20240711</v>
      </c>
      <c r="B194" s="6">
        <v>45484</v>
      </c>
    </row>
    <row r="195" spans="1:2">
      <c r="A195" s="1">
        <v>20240712</v>
      </c>
      <c r="B195" s="6">
        <v>45485</v>
      </c>
    </row>
    <row r="196" spans="1:2">
      <c r="A196" s="1">
        <v>20240713</v>
      </c>
      <c r="B196" s="6">
        <v>45486</v>
      </c>
    </row>
    <row r="197" spans="1:2">
      <c r="A197" s="1">
        <v>20240714</v>
      </c>
      <c r="B197" s="6">
        <v>45487</v>
      </c>
    </row>
    <row r="198" spans="1:2">
      <c r="A198" s="1">
        <v>20240715</v>
      </c>
      <c r="B198" s="6">
        <v>45488</v>
      </c>
    </row>
    <row r="199" spans="1:2">
      <c r="A199" s="1">
        <v>20240716</v>
      </c>
      <c r="B199" s="6">
        <v>45489</v>
      </c>
    </row>
    <row r="200" spans="1:2">
      <c r="A200" s="1">
        <v>20240717</v>
      </c>
      <c r="B200" s="6">
        <v>45490</v>
      </c>
    </row>
    <row r="201" spans="1:2">
      <c r="A201" s="1">
        <v>20240718</v>
      </c>
      <c r="B201" s="6">
        <v>45491</v>
      </c>
    </row>
    <row r="202" spans="1:2">
      <c r="A202" s="1">
        <v>20240719</v>
      </c>
      <c r="B202" s="6">
        <v>45492</v>
      </c>
    </row>
    <row r="203" spans="1:2">
      <c r="A203" s="1">
        <v>20240720</v>
      </c>
      <c r="B203" s="6">
        <v>45493</v>
      </c>
    </row>
    <row r="204" spans="1:2">
      <c r="A204" s="1">
        <v>20240721</v>
      </c>
      <c r="B204" s="6">
        <v>45494</v>
      </c>
    </row>
    <row r="205" spans="1:2">
      <c r="A205" s="1">
        <v>20240722</v>
      </c>
      <c r="B205" s="6">
        <v>45495</v>
      </c>
    </row>
    <row r="206" spans="1:2">
      <c r="A206" s="1">
        <v>20240723</v>
      </c>
      <c r="B206" s="6">
        <v>45496</v>
      </c>
    </row>
    <row r="207" spans="1:2">
      <c r="A207" s="1">
        <v>20240724</v>
      </c>
      <c r="B207" s="6">
        <v>45497</v>
      </c>
    </row>
    <row r="208" spans="1:2">
      <c r="A208" s="1">
        <v>20240725</v>
      </c>
      <c r="B208" s="6">
        <v>45498</v>
      </c>
    </row>
    <row r="209" spans="1:2">
      <c r="A209" s="1">
        <v>20240726</v>
      </c>
      <c r="B209" s="6">
        <v>45499</v>
      </c>
    </row>
    <row r="210" spans="1:2">
      <c r="A210" s="1">
        <v>20240727</v>
      </c>
      <c r="B210" s="6">
        <v>45500</v>
      </c>
    </row>
    <row r="211" spans="1:2">
      <c r="A211" s="1">
        <v>20240728</v>
      </c>
      <c r="B211" s="6">
        <v>45501</v>
      </c>
    </row>
    <row r="212" spans="1:2">
      <c r="A212" s="1">
        <v>20240729</v>
      </c>
      <c r="B212" s="6">
        <v>45502</v>
      </c>
    </row>
    <row r="213" spans="1:2">
      <c r="A213" s="1">
        <v>20240730</v>
      </c>
      <c r="B213" s="6">
        <v>45503</v>
      </c>
    </row>
    <row r="214" spans="1:2">
      <c r="A214" s="1">
        <v>20240731</v>
      </c>
      <c r="B214" s="6">
        <v>45504</v>
      </c>
    </row>
    <row r="215" spans="1:2">
      <c r="A215" s="1">
        <v>20240801</v>
      </c>
      <c r="B215" s="6">
        <v>45505</v>
      </c>
    </row>
    <row r="216" spans="1:2">
      <c r="A216" s="1">
        <v>20240802</v>
      </c>
      <c r="B216" s="6">
        <v>45506</v>
      </c>
    </row>
    <row r="217" spans="1:2">
      <c r="A217" s="1">
        <v>20240803</v>
      </c>
      <c r="B217" s="6">
        <v>45507</v>
      </c>
    </row>
    <row r="218" spans="1:2">
      <c r="A218" s="1">
        <v>20240804</v>
      </c>
      <c r="B218" s="6">
        <v>45508</v>
      </c>
    </row>
    <row r="219" spans="1:2">
      <c r="A219" s="1">
        <v>20240805</v>
      </c>
      <c r="B219" s="6">
        <v>45509</v>
      </c>
    </row>
    <row r="220" spans="1:2">
      <c r="A220" s="1">
        <v>20240806</v>
      </c>
      <c r="B220" s="6">
        <v>45510</v>
      </c>
    </row>
    <row r="221" spans="1:2">
      <c r="A221" s="1">
        <v>20240807</v>
      </c>
      <c r="B221" s="6">
        <v>45511</v>
      </c>
    </row>
    <row r="222" spans="1:2">
      <c r="A222" s="1">
        <v>20240808</v>
      </c>
      <c r="B222" s="6">
        <v>45512</v>
      </c>
    </row>
    <row r="223" spans="1:2">
      <c r="A223" s="1">
        <v>20240809</v>
      </c>
      <c r="B223" s="6">
        <v>45513</v>
      </c>
    </row>
    <row r="224" spans="1:2">
      <c r="A224" s="1">
        <v>20240810</v>
      </c>
      <c r="B224" s="6">
        <v>45514</v>
      </c>
    </row>
    <row r="225" spans="1:2">
      <c r="A225" s="1">
        <v>20240811</v>
      </c>
      <c r="B225" s="6">
        <v>45515</v>
      </c>
    </row>
    <row r="226" spans="1:2">
      <c r="A226" s="1">
        <v>20240812</v>
      </c>
      <c r="B226" s="6">
        <v>45516</v>
      </c>
    </row>
    <row r="227" spans="1:2">
      <c r="A227" s="1">
        <v>20240813</v>
      </c>
      <c r="B227" s="6">
        <v>45517</v>
      </c>
    </row>
    <row r="228" spans="1:2">
      <c r="A228" s="1">
        <v>20240814</v>
      </c>
      <c r="B228" s="6">
        <v>45518</v>
      </c>
    </row>
    <row r="229" spans="1:2">
      <c r="A229" s="1">
        <v>20240815</v>
      </c>
      <c r="B229" s="6">
        <v>45519</v>
      </c>
    </row>
    <row r="230" spans="1:2">
      <c r="A230" s="1">
        <v>20240816</v>
      </c>
      <c r="B230" s="6">
        <v>45520</v>
      </c>
    </row>
    <row r="231" spans="1:2">
      <c r="A231" s="1">
        <v>20240817</v>
      </c>
      <c r="B231" s="6">
        <v>45521</v>
      </c>
    </row>
    <row r="232" spans="1:2">
      <c r="A232" s="1">
        <v>20240818</v>
      </c>
      <c r="B232" s="6">
        <v>45522</v>
      </c>
    </row>
    <row r="233" spans="1:2">
      <c r="A233" s="1">
        <v>20240819</v>
      </c>
      <c r="B233" s="6">
        <v>45523</v>
      </c>
    </row>
    <row r="234" spans="1:2">
      <c r="A234" s="1">
        <v>20240820</v>
      </c>
      <c r="B234" s="6">
        <v>45524</v>
      </c>
    </row>
    <row r="235" spans="1:2">
      <c r="A235" s="1">
        <v>20240821</v>
      </c>
      <c r="B235" s="6">
        <v>45525</v>
      </c>
    </row>
    <row r="236" spans="1:2">
      <c r="A236" s="1">
        <v>20240822</v>
      </c>
      <c r="B236" s="6">
        <v>45526</v>
      </c>
    </row>
    <row r="237" spans="1:2">
      <c r="A237" s="1">
        <v>20240823</v>
      </c>
      <c r="B237" s="6">
        <v>45527</v>
      </c>
    </row>
    <row r="238" spans="1:2">
      <c r="A238" s="1">
        <v>20240824</v>
      </c>
      <c r="B238" s="6">
        <v>45528</v>
      </c>
    </row>
    <row r="239" spans="1:2">
      <c r="A239" s="1">
        <v>20240825</v>
      </c>
      <c r="B239" s="6">
        <v>45529</v>
      </c>
    </row>
    <row r="240" spans="1:2">
      <c r="A240" s="1">
        <v>20240826</v>
      </c>
      <c r="B240" s="6">
        <v>45530</v>
      </c>
    </row>
    <row r="241" spans="1:2">
      <c r="A241" s="1">
        <v>20240827</v>
      </c>
      <c r="B241" s="6">
        <v>45531</v>
      </c>
    </row>
    <row r="242" spans="1:2">
      <c r="A242" s="1">
        <v>20240828</v>
      </c>
      <c r="B242" s="6">
        <v>45532</v>
      </c>
    </row>
    <row r="243" spans="1:2">
      <c r="A243" s="1">
        <v>20240829</v>
      </c>
      <c r="B243" s="6">
        <v>45533</v>
      </c>
    </row>
    <row r="244" spans="1:2">
      <c r="A244" s="1">
        <v>20240830</v>
      </c>
      <c r="B244" s="6">
        <v>45534</v>
      </c>
    </row>
    <row r="245" spans="1:2">
      <c r="A245" s="1">
        <v>20240831</v>
      </c>
      <c r="B245" s="6">
        <v>45535</v>
      </c>
    </row>
    <row r="246" spans="1:2">
      <c r="A246" s="1">
        <v>20240901</v>
      </c>
      <c r="B246" s="6">
        <v>45536</v>
      </c>
    </row>
    <row r="247" spans="1:2">
      <c r="A247" s="1">
        <v>20240902</v>
      </c>
      <c r="B247" s="6">
        <v>45537</v>
      </c>
    </row>
    <row r="248" spans="1:2">
      <c r="A248" s="1">
        <v>20240903</v>
      </c>
      <c r="B248" s="6">
        <v>45538</v>
      </c>
    </row>
    <row r="249" spans="1:2">
      <c r="A249" s="1">
        <v>20240904</v>
      </c>
      <c r="B249" s="6">
        <v>45539</v>
      </c>
    </row>
    <row r="250" spans="1:2">
      <c r="A250" s="1">
        <v>20240905</v>
      </c>
      <c r="B250" s="6">
        <v>45540</v>
      </c>
    </row>
    <row r="251" spans="1:2">
      <c r="A251" s="1">
        <v>20240906</v>
      </c>
      <c r="B251" s="6">
        <v>45541</v>
      </c>
    </row>
    <row r="252" spans="1:2">
      <c r="A252" s="1">
        <v>20240907</v>
      </c>
      <c r="B252" s="6">
        <v>45542</v>
      </c>
    </row>
    <row r="253" spans="1:2">
      <c r="A253" s="1">
        <v>20240908</v>
      </c>
      <c r="B253" s="6">
        <v>45543</v>
      </c>
    </row>
    <row r="254" spans="1:2">
      <c r="A254" s="1">
        <v>20240909</v>
      </c>
      <c r="B254" s="6">
        <v>45544</v>
      </c>
    </row>
    <row r="255" spans="1:2">
      <c r="A255" s="1">
        <v>20240910</v>
      </c>
      <c r="B255" s="6">
        <v>45545</v>
      </c>
    </row>
    <row r="256" spans="1:2">
      <c r="A256" s="1">
        <v>20240911</v>
      </c>
      <c r="B256" s="6">
        <v>45546</v>
      </c>
    </row>
    <row r="257" spans="1:2">
      <c r="A257" s="1">
        <v>20240912</v>
      </c>
      <c r="B257" s="6">
        <v>45547</v>
      </c>
    </row>
    <row r="258" spans="1:2">
      <c r="A258" s="1">
        <v>20240913</v>
      </c>
      <c r="B258" s="6">
        <v>45548</v>
      </c>
    </row>
    <row r="259" spans="1:2">
      <c r="A259" s="1">
        <v>20240914</v>
      </c>
      <c r="B259" s="6">
        <v>45549</v>
      </c>
    </row>
    <row r="260" spans="1:2">
      <c r="A260" s="1">
        <v>20240915</v>
      </c>
      <c r="B260" s="6">
        <v>45550</v>
      </c>
    </row>
    <row r="261" spans="1:2">
      <c r="A261" s="1">
        <v>20240916</v>
      </c>
      <c r="B261" s="6">
        <v>45551</v>
      </c>
    </row>
    <row r="262" spans="1:2">
      <c r="A262" s="1">
        <v>20240917</v>
      </c>
      <c r="B262" s="6">
        <v>45552</v>
      </c>
    </row>
    <row r="263" spans="1:2">
      <c r="A263" s="1">
        <v>20240918</v>
      </c>
      <c r="B263" s="6">
        <v>45553</v>
      </c>
    </row>
    <row r="264" spans="1:2">
      <c r="A264" s="1">
        <v>20240919</v>
      </c>
      <c r="B264" s="6">
        <v>45554</v>
      </c>
    </row>
    <row r="265" spans="1:2">
      <c r="A265" s="1">
        <v>20240920</v>
      </c>
      <c r="B265" s="6">
        <v>45555</v>
      </c>
    </row>
    <row r="266" spans="1:2">
      <c r="A266" s="1">
        <v>20240921</v>
      </c>
      <c r="B266" s="6">
        <v>45556</v>
      </c>
    </row>
    <row r="267" spans="1:2">
      <c r="A267" s="1">
        <v>20240922</v>
      </c>
      <c r="B267" s="6">
        <v>45557</v>
      </c>
    </row>
    <row r="268" spans="1:2">
      <c r="A268" s="1">
        <v>20240923</v>
      </c>
      <c r="B268" s="6">
        <v>45558</v>
      </c>
    </row>
    <row r="269" spans="1:2">
      <c r="A269" s="1">
        <v>20240924</v>
      </c>
      <c r="B269" s="6">
        <v>45559</v>
      </c>
    </row>
    <row r="270" spans="1:2">
      <c r="A270" s="1">
        <v>20240925</v>
      </c>
      <c r="B270" s="6">
        <v>45560</v>
      </c>
    </row>
    <row r="271" spans="1:2">
      <c r="A271" s="1">
        <v>20240926</v>
      </c>
      <c r="B271" s="6">
        <v>45561</v>
      </c>
    </row>
    <row r="272" spans="1:2">
      <c r="A272" s="1">
        <v>20240927</v>
      </c>
      <c r="B272" s="6">
        <v>45562</v>
      </c>
    </row>
    <row r="273" spans="1:2">
      <c r="A273" s="1">
        <v>20240928</v>
      </c>
      <c r="B273" s="6">
        <v>45563</v>
      </c>
    </row>
    <row r="274" spans="1:2">
      <c r="A274" s="1">
        <v>20240929</v>
      </c>
      <c r="B274" s="6">
        <v>45564</v>
      </c>
    </row>
    <row r="275" spans="1:2">
      <c r="A275" s="1">
        <v>20240930</v>
      </c>
      <c r="B275" s="6">
        <v>45565</v>
      </c>
    </row>
    <row r="276" spans="1:2">
      <c r="A276" s="1">
        <v>20241001</v>
      </c>
      <c r="B276" s="6">
        <v>45566</v>
      </c>
    </row>
    <row r="277" spans="1:2">
      <c r="A277" s="1">
        <v>20241002</v>
      </c>
      <c r="B277" s="6">
        <v>45567</v>
      </c>
    </row>
    <row r="278" spans="1:2">
      <c r="A278" s="1">
        <v>20241003</v>
      </c>
      <c r="B278" s="6">
        <v>45568</v>
      </c>
    </row>
    <row r="279" spans="1:2">
      <c r="A279" s="1">
        <v>20241004</v>
      </c>
      <c r="B279" s="6">
        <v>45569</v>
      </c>
    </row>
    <row r="280" spans="1:2">
      <c r="A280" s="1">
        <v>20241005</v>
      </c>
      <c r="B280" s="6">
        <v>45570</v>
      </c>
    </row>
    <row r="281" spans="1:2">
      <c r="A281" s="1">
        <v>20241006</v>
      </c>
      <c r="B281" s="6">
        <v>45571</v>
      </c>
    </row>
    <row r="282" spans="1:2">
      <c r="A282" s="1">
        <v>20241007</v>
      </c>
      <c r="B282" s="6">
        <v>45572</v>
      </c>
    </row>
    <row r="283" spans="1:2">
      <c r="A283" s="1">
        <v>20241008</v>
      </c>
      <c r="B283" s="6">
        <v>45573</v>
      </c>
    </row>
    <row r="284" spans="1:2">
      <c r="A284" s="1">
        <v>20241009</v>
      </c>
      <c r="B284" s="6">
        <v>45574</v>
      </c>
    </row>
    <row r="285" spans="1:2">
      <c r="A285" s="1">
        <v>20241010</v>
      </c>
      <c r="B285" s="6">
        <v>45575</v>
      </c>
    </row>
    <row r="286" spans="1:2">
      <c r="A286" s="1">
        <v>20241011</v>
      </c>
      <c r="B286" s="6">
        <v>45576</v>
      </c>
    </row>
    <row r="287" spans="1:2">
      <c r="A287" s="1">
        <v>20241012</v>
      </c>
      <c r="B287" s="6">
        <v>45577</v>
      </c>
    </row>
    <row r="288" spans="1:2">
      <c r="A288" s="1">
        <v>20241013</v>
      </c>
      <c r="B288" s="6">
        <v>45578</v>
      </c>
    </row>
    <row r="289" spans="1:2">
      <c r="A289" s="1">
        <v>20241014</v>
      </c>
      <c r="B289" s="6">
        <v>45579</v>
      </c>
    </row>
    <row r="290" spans="1:2">
      <c r="A290" s="1">
        <v>20241015</v>
      </c>
      <c r="B290" s="6">
        <v>45580</v>
      </c>
    </row>
    <row r="291" spans="1:2">
      <c r="A291" s="1">
        <v>20241016</v>
      </c>
      <c r="B291" s="6">
        <v>45581</v>
      </c>
    </row>
    <row r="292" spans="1:2">
      <c r="A292" s="1">
        <v>20241017</v>
      </c>
      <c r="B292" s="6">
        <v>45582</v>
      </c>
    </row>
    <row r="293" spans="1:2">
      <c r="A293" s="1">
        <v>20241018</v>
      </c>
      <c r="B293" s="6">
        <v>45583</v>
      </c>
    </row>
    <row r="294" spans="1:2">
      <c r="A294" s="1">
        <v>20241019</v>
      </c>
      <c r="B294" s="6">
        <v>45584</v>
      </c>
    </row>
    <row r="295" spans="1:2">
      <c r="A295" s="1">
        <v>20241020</v>
      </c>
      <c r="B295" s="6">
        <v>45585</v>
      </c>
    </row>
    <row r="296" spans="1:2">
      <c r="A296" s="1">
        <v>20241021</v>
      </c>
      <c r="B296" s="6">
        <v>45586</v>
      </c>
    </row>
    <row r="297" spans="1:2">
      <c r="A297" s="1">
        <v>20241022</v>
      </c>
      <c r="B297" s="6">
        <v>45587</v>
      </c>
    </row>
    <row r="298" spans="1:2">
      <c r="A298" s="1">
        <v>20241023</v>
      </c>
      <c r="B298" s="6">
        <v>45588</v>
      </c>
    </row>
    <row r="299" spans="1:2">
      <c r="A299" s="1">
        <v>20241024</v>
      </c>
      <c r="B299" s="6">
        <v>45589</v>
      </c>
    </row>
    <row r="300" spans="1:2">
      <c r="A300" s="1">
        <v>20241025</v>
      </c>
      <c r="B300" s="6">
        <v>45590</v>
      </c>
    </row>
    <row r="301" spans="1:2">
      <c r="A301" s="1">
        <v>20241026</v>
      </c>
      <c r="B301" s="6">
        <v>45591</v>
      </c>
    </row>
    <row r="302" spans="1:2">
      <c r="A302" s="1">
        <v>20241027</v>
      </c>
      <c r="B302" s="6">
        <v>45592</v>
      </c>
    </row>
    <row r="303" spans="1:2">
      <c r="A303" s="1">
        <v>20241028</v>
      </c>
      <c r="B303" s="6">
        <v>45593</v>
      </c>
    </row>
    <row r="304" spans="1:2">
      <c r="A304" s="1">
        <v>20241029</v>
      </c>
      <c r="B304" s="6">
        <v>45594</v>
      </c>
    </row>
    <row r="305" spans="1:2">
      <c r="A305" s="1">
        <v>20241030</v>
      </c>
      <c r="B305" s="6">
        <v>45595</v>
      </c>
    </row>
    <row r="306" spans="1:2">
      <c r="A306" s="1">
        <v>20241031</v>
      </c>
      <c r="B306" s="6">
        <v>45596</v>
      </c>
    </row>
    <row r="307" spans="1:2">
      <c r="A307" s="1">
        <v>20241101</v>
      </c>
      <c r="B307" s="6">
        <v>45597</v>
      </c>
    </row>
    <row r="308" spans="1:2">
      <c r="A308" s="1">
        <v>20241102</v>
      </c>
      <c r="B308" s="6">
        <v>45598</v>
      </c>
    </row>
    <row r="309" spans="1:2">
      <c r="A309" s="1">
        <v>20241103</v>
      </c>
      <c r="B309" s="6">
        <v>45599</v>
      </c>
    </row>
    <row r="310" spans="1:2">
      <c r="A310" s="1">
        <v>20241104</v>
      </c>
      <c r="B310" s="6">
        <v>45600</v>
      </c>
    </row>
    <row r="311" spans="1:2">
      <c r="A311" s="1">
        <v>20241105</v>
      </c>
      <c r="B311" s="6">
        <v>45601</v>
      </c>
    </row>
    <row r="312" spans="1:2">
      <c r="A312" s="1">
        <v>20241106</v>
      </c>
      <c r="B312" s="6">
        <v>45602</v>
      </c>
    </row>
    <row r="313" spans="1:2">
      <c r="A313" s="1">
        <v>20241107</v>
      </c>
      <c r="B313" s="6">
        <v>45603</v>
      </c>
    </row>
    <row r="314" spans="1:2">
      <c r="A314" s="1">
        <v>20241108</v>
      </c>
      <c r="B314" s="6">
        <v>45604</v>
      </c>
    </row>
    <row r="315" spans="1:2">
      <c r="A315" s="1">
        <v>20241109</v>
      </c>
      <c r="B315" s="6">
        <v>45605</v>
      </c>
    </row>
    <row r="316" spans="1:2">
      <c r="A316" s="1">
        <v>20241110</v>
      </c>
      <c r="B316" s="6">
        <v>45606</v>
      </c>
    </row>
    <row r="317" spans="1:2">
      <c r="A317" s="1">
        <v>20241111</v>
      </c>
      <c r="B317" s="6">
        <v>45607</v>
      </c>
    </row>
    <row r="318" spans="1:2">
      <c r="A318" s="1">
        <v>20241112</v>
      </c>
      <c r="B318" s="6">
        <v>45608</v>
      </c>
    </row>
    <row r="319" spans="1:2">
      <c r="A319" s="1">
        <v>20241113</v>
      </c>
      <c r="B319" s="6">
        <v>45609</v>
      </c>
    </row>
    <row r="320" spans="1:2">
      <c r="A320" s="1">
        <v>20241114</v>
      </c>
      <c r="B320" s="6">
        <v>45610</v>
      </c>
    </row>
    <row r="321" spans="1:2">
      <c r="A321" s="1">
        <v>20241115</v>
      </c>
      <c r="B321" s="6">
        <v>45611</v>
      </c>
    </row>
    <row r="322" spans="1:2">
      <c r="A322" s="1">
        <v>20241116</v>
      </c>
      <c r="B322" s="6">
        <v>45612</v>
      </c>
    </row>
    <row r="323" spans="1:2">
      <c r="A323" s="1">
        <v>20241117</v>
      </c>
      <c r="B323" s="6">
        <v>45613</v>
      </c>
    </row>
    <row r="324" spans="1:2">
      <c r="A324" s="1">
        <v>20241118</v>
      </c>
      <c r="B324" s="6">
        <v>45614</v>
      </c>
    </row>
    <row r="325" spans="1:2">
      <c r="A325" s="1">
        <v>20241119</v>
      </c>
      <c r="B325" s="6">
        <v>45615</v>
      </c>
    </row>
    <row r="326" spans="1:2">
      <c r="A326" s="1">
        <v>20241120</v>
      </c>
      <c r="B326" s="6">
        <v>45616</v>
      </c>
    </row>
    <row r="327" spans="1:2">
      <c r="A327" s="1">
        <v>20241121</v>
      </c>
      <c r="B327" s="6">
        <v>45617</v>
      </c>
    </row>
    <row r="328" spans="1:2">
      <c r="A328" s="1">
        <v>20241122</v>
      </c>
      <c r="B328" s="6">
        <v>45618</v>
      </c>
    </row>
    <row r="329" spans="1:2">
      <c r="A329" s="1">
        <v>20241123</v>
      </c>
      <c r="B329" s="6">
        <v>45619</v>
      </c>
    </row>
    <row r="330" spans="1:2">
      <c r="A330" s="1">
        <v>20241124</v>
      </c>
      <c r="B330" s="6">
        <v>45620</v>
      </c>
    </row>
    <row r="331" spans="1:2">
      <c r="A331" s="1">
        <v>20241125</v>
      </c>
      <c r="B331" s="6">
        <v>45621</v>
      </c>
    </row>
    <row r="332" spans="1:2">
      <c r="A332" s="1">
        <v>20241126</v>
      </c>
      <c r="B332" s="6">
        <v>45622</v>
      </c>
    </row>
    <row r="333" spans="1:2">
      <c r="A333" s="1">
        <v>20241127</v>
      </c>
      <c r="B333" s="6">
        <v>45623</v>
      </c>
    </row>
    <row r="334" spans="1:2">
      <c r="A334" s="1">
        <v>20241128</v>
      </c>
      <c r="B334" s="6">
        <v>45624</v>
      </c>
    </row>
    <row r="335" spans="1:2">
      <c r="A335" s="1">
        <v>20241129</v>
      </c>
      <c r="B335" s="6">
        <v>45625</v>
      </c>
    </row>
    <row r="336" spans="1:2">
      <c r="A336" s="1">
        <v>20241130</v>
      </c>
      <c r="B336" s="6">
        <v>45626</v>
      </c>
    </row>
    <row r="337" spans="1:2">
      <c r="A337" s="1">
        <v>20241201</v>
      </c>
      <c r="B337" s="6">
        <v>45627</v>
      </c>
    </row>
    <row r="338" spans="1:2">
      <c r="A338" s="1">
        <v>20241202</v>
      </c>
      <c r="B338" s="6">
        <v>45628</v>
      </c>
    </row>
    <row r="339" spans="1:2">
      <c r="A339" s="1">
        <v>20241203</v>
      </c>
      <c r="B339" s="6">
        <v>45629</v>
      </c>
    </row>
    <row r="340" spans="1:2">
      <c r="A340" s="1">
        <v>20241204</v>
      </c>
      <c r="B340" s="6">
        <v>45630</v>
      </c>
    </row>
    <row r="341" spans="1:2">
      <c r="A341" s="1">
        <v>20241205</v>
      </c>
      <c r="B341" s="6">
        <v>45631</v>
      </c>
    </row>
    <row r="342" spans="1:2">
      <c r="A342" s="1">
        <v>20241206</v>
      </c>
      <c r="B342" s="6">
        <v>45632</v>
      </c>
    </row>
    <row r="343" spans="1:2">
      <c r="A343" s="1">
        <v>20241207</v>
      </c>
      <c r="B343" s="6">
        <v>45633</v>
      </c>
    </row>
    <row r="344" spans="1:2">
      <c r="A344" s="1">
        <v>20241208</v>
      </c>
      <c r="B344" s="6">
        <v>45634</v>
      </c>
    </row>
    <row r="345" spans="1:2">
      <c r="A345" s="1">
        <v>20241209</v>
      </c>
      <c r="B345" s="6">
        <v>45635</v>
      </c>
    </row>
    <row r="346" spans="1:2">
      <c r="A346" s="1">
        <v>20241210</v>
      </c>
      <c r="B346" s="6">
        <v>45636</v>
      </c>
    </row>
    <row r="347" spans="1:2">
      <c r="A347" s="1">
        <v>20241211</v>
      </c>
      <c r="B347" s="6">
        <v>45637</v>
      </c>
    </row>
    <row r="348" spans="1:2">
      <c r="A348" s="1">
        <v>20241212</v>
      </c>
      <c r="B348" s="6">
        <v>45638</v>
      </c>
    </row>
    <row r="349" spans="1:2">
      <c r="A349" s="1">
        <v>20241213</v>
      </c>
      <c r="B349" s="6">
        <v>45639</v>
      </c>
    </row>
    <row r="350" spans="1:2">
      <c r="A350" s="1">
        <v>20241214</v>
      </c>
      <c r="B350" s="6">
        <v>45640</v>
      </c>
    </row>
    <row r="351" spans="1:2">
      <c r="A351" s="1">
        <v>20241215</v>
      </c>
      <c r="B351" s="6">
        <v>45641</v>
      </c>
    </row>
    <row r="352" spans="1:2">
      <c r="A352" s="1">
        <v>20241216</v>
      </c>
      <c r="B352" s="6">
        <v>45642</v>
      </c>
    </row>
    <row r="353" spans="1:2">
      <c r="A353" s="1">
        <v>20241217</v>
      </c>
      <c r="B353" s="6">
        <v>45643</v>
      </c>
    </row>
    <row r="354" spans="1:2">
      <c r="A354" s="1">
        <v>20241218</v>
      </c>
      <c r="B354" s="6">
        <v>45644</v>
      </c>
    </row>
    <row r="355" spans="1:2">
      <c r="A355" s="1">
        <v>20241219</v>
      </c>
      <c r="B355" s="6">
        <v>45645</v>
      </c>
    </row>
    <row r="356" spans="1:2">
      <c r="A356" s="1">
        <v>20241220</v>
      </c>
      <c r="B356" s="6">
        <v>45646</v>
      </c>
    </row>
    <row r="357" spans="1:2">
      <c r="A357" s="1">
        <v>20241221</v>
      </c>
      <c r="B357" s="6">
        <v>45647</v>
      </c>
    </row>
    <row r="358" spans="1:2">
      <c r="A358" s="1">
        <v>20241222</v>
      </c>
      <c r="B358" s="6">
        <v>45648</v>
      </c>
    </row>
    <row r="359" spans="1:2">
      <c r="A359" s="1">
        <v>20241223</v>
      </c>
      <c r="B359" s="6">
        <v>45649</v>
      </c>
    </row>
    <row r="360" spans="1:2">
      <c r="A360" s="1">
        <v>20241224</v>
      </c>
      <c r="B360" s="6">
        <v>45650</v>
      </c>
    </row>
    <row r="361" spans="1:2">
      <c r="A361" s="1">
        <v>20241225</v>
      </c>
      <c r="B361" s="6">
        <v>45651</v>
      </c>
    </row>
    <row r="362" spans="1:2">
      <c r="A362" s="1">
        <v>20241226</v>
      </c>
      <c r="B362" s="6">
        <v>45652</v>
      </c>
    </row>
    <row r="363" spans="1:2">
      <c r="A363" s="1">
        <v>20241227</v>
      </c>
      <c r="B363" s="6">
        <v>45653</v>
      </c>
    </row>
    <row r="364" spans="1:2">
      <c r="A364" s="1">
        <v>20241228</v>
      </c>
      <c r="B364" s="6">
        <v>45654</v>
      </c>
    </row>
    <row r="365" spans="1:2">
      <c r="A365" s="1">
        <v>20241229</v>
      </c>
      <c r="B365" s="6">
        <v>45655</v>
      </c>
    </row>
    <row r="366" spans="1:2">
      <c r="A366" s="1">
        <v>20241230</v>
      </c>
      <c r="B366" s="6">
        <v>45656</v>
      </c>
    </row>
    <row r="367" spans="1:2">
      <c r="A367" s="1">
        <v>20241231</v>
      </c>
      <c r="B367" s="6">
        <v>45657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paperSize="9" orientation="portrait"/>
  <headerFooter>
    <oddFooter>&amp;C
&amp;1#&amp;"Calibri"&amp;10&amp;K000000 DSV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7" sqref="A7"/>
    </sheetView>
  </sheetViews>
  <sheetFormatPr defaultColWidth="8.859375" defaultRowHeight="16.8" outlineLevelRow="6"/>
  <cols>
    <col min="1" max="1" width="24.140625" customWidth="1"/>
  </cols>
  <sheetData>
    <row r="1" spans="1:1">
      <c r="A1" t="s">
        <v>585</v>
      </c>
    </row>
    <row r="2" spans="1:1">
      <c r="A2" t="s">
        <v>586</v>
      </c>
    </row>
    <row r="3" spans="1:1">
      <c r="A3" t="s">
        <v>587</v>
      </c>
    </row>
    <row r="4" spans="1:1">
      <c r="A4" t="s">
        <v>588</v>
      </c>
    </row>
    <row r="5" spans="1:1">
      <c r="A5" t="s">
        <v>589</v>
      </c>
    </row>
    <row r="6" spans="1:1">
      <c r="A6" t="s">
        <v>590</v>
      </c>
    </row>
    <row r="7" spans="1:1">
      <c r="A7" t="s">
        <v>591</v>
      </c>
    </row>
  </sheetData>
  <pageMargins left="0.7" right="0.7" top="0.75" bottom="0.75" header="0.3" footer="0.3"/>
  <headerFooter>
    <oddFooter>&amp;C
&amp;1#&amp;"Calibri"&amp;10&amp;K000000 DSV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5" sqref="A5"/>
    </sheetView>
  </sheetViews>
  <sheetFormatPr defaultColWidth="8.859375" defaultRowHeight="16.8" outlineLevelRow="3"/>
  <cols>
    <col min="1" max="1" width="40.140625" customWidth="1"/>
  </cols>
  <sheetData>
    <row r="1" spans="1:1">
      <c r="A1" t="s">
        <v>592</v>
      </c>
    </row>
    <row r="2" spans="1:1">
      <c r="A2" t="s">
        <v>593</v>
      </c>
    </row>
    <row r="3" spans="1:1">
      <c r="A3" t="s">
        <v>594</v>
      </c>
    </row>
    <row r="4" spans="1:1">
      <c r="A4" t="s">
        <v>591</v>
      </c>
    </row>
  </sheetData>
  <pageMargins left="0.7" right="0.7" top="0.75" bottom="0.75" header="0.3" footer="0.3"/>
  <headerFooter>
    <oddFooter>&amp;C
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C52BC23-C43C-48FF-8216-FFBA09F71C3F}">
  <ds:schemaRefs/>
</ds:datastoreItem>
</file>

<file path=customXml/itemProps2.xml><?xml version="1.0" encoding="utf-8"?>
<ds:datastoreItem xmlns:ds="http://schemas.openxmlformats.org/officeDocument/2006/customXml" ds:itemID="{579F3C67-4B0A-4076-8476-A3B9D0CCB496}">
  <ds:schemaRefs/>
</ds:datastoreItem>
</file>

<file path=customXml/itemProps3.xml><?xml version="1.0" encoding="utf-8"?>
<ds:datastoreItem xmlns:ds="http://schemas.openxmlformats.org/officeDocument/2006/customXml" ds:itemID="{A53180F7-ACD2-4934-BB26-53F17DFB26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Import Report Template</vt:lpstr>
      <vt:lpstr>Data Fields</vt:lpstr>
      <vt:lpstr>Input AC Report </vt:lpstr>
      <vt:lpstr>Validation</vt:lpstr>
      <vt:lpstr>CBAM goods category</vt:lpstr>
      <vt:lpstr>Exeptions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Rugerio, Erika</dc:creator>
  <cp:lastModifiedBy>esteravranceanu</cp:lastModifiedBy>
  <dcterms:created xsi:type="dcterms:W3CDTF">2023-11-12T21:44:00Z</dcterms:created>
  <dcterms:modified xsi:type="dcterms:W3CDTF">2026-02-24T17:08:54Z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0x0101007C094BB4E7ABAC47BDF90E5E0D425560</vt:lpwstr>
  </property>
  <property fmtid="{D5CDD505-2E9C-101B-9397-08002B2CF9AE}" pid="3" name="MediaServiceImageTags">
    <vt:lpwstr/>
  </property>
  <property fmtid="{D5CDD505-2E9C-101B-9397-08002B2CF9AE}" pid="4" name="MSIP_Label_fc6c1fee-2f04-49ca-98cf-bcf61896c7fa_Enabled">
    <vt:lpwstr>true</vt:lpwstr>
  </property>
  <property fmtid="{D5CDD505-2E9C-101B-9397-08002B2CF9AE}" pid="5" name="MSIP_Label_fc6c1fee-2f04-49ca-98cf-bcf61896c7fa_SetDate">
    <vt:lpwstr>2024-11-13T12:49:33Z</vt:lpwstr>
  </property>
  <property fmtid="{D5CDD505-2E9C-101B-9397-08002B2CF9AE}" pid="6" name="MSIP_Label_fc6c1fee-2f04-49ca-98cf-bcf61896c7fa_Method">
    <vt:lpwstr>Standard</vt:lpwstr>
  </property>
  <property fmtid="{D5CDD505-2E9C-101B-9397-08002B2CF9AE}" pid="7" name="MSIP_Label_fc6c1fee-2f04-49ca-98cf-bcf61896c7fa_Name">
    <vt:lpwstr>Internal</vt:lpwstr>
  </property>
  <property fmtid="{D5CDD505-2E9C-101B-9397-08002B2CF9AE}" pid="8" name="MSIP_Label_fc6c1fee-2f04-49ca-98cf-bcf61896c7fa_SiteId">
    <vt:lpwstr>4a90c23a-3ece-4ef2-b857-522f23b8204c</vt:lpwstr>
  </property>
  <property fmtid="{D5CDD505-2E9C-101B-9397-08002B2CF9AE}" pid="9" name="MSIP_Label_fc6c1fee-2f04-49ca-98cf-bcf61896c7fa_ActionId">
    <vt:lpwstr>a324eb9d-1705-44eb-bde3-75322e1a0e22</vt:lpwstr>
  </property>
  <property fmtid="{D5CDD505-2E9C-101B-9397-08002B2CF9AE}" pid="10" name="MSIP_Label_fc6c1fee-2f04-49ca-98cf-bcf61896c7fa_ContentBits">
    <vt:lpwstr>2</vt:lpwstr>
  </property>
  <property fmtid="{D5CDD505-2E9C-101B-9397-08002B2CF9AE}" pid="11" name="ICV">
    <vt:lpwstr>CEEB907ACF748CEE06BF9D6992266329_42</vt:lpwstr>
  </property>
  <property fmtid="{D5CDD505-2E9C-101B-9397-08002B2CF9AE}" pid="12" name="KSOProductBuildVer">
    <vt:lpwstr>1033-6.10.1.8197</vt:lpwstr>
  </property>
</Properties>
</file>